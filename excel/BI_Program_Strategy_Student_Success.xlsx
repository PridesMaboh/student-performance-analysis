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755fdfd963ca60/My Portfolios/EXCEL/"/>
    </mc:Choice>
  </mc:AlternateContent>
  <xr:revisionPtr revIDLastSave="756" documentId="8_{48029C1D-8F07-4FCA-B757-51B8CC81F17B}" xr6:coauthVersionLast="47" xr6:coauthVersionMax="47" xr10:uidLastSave="{5AC8838B-96E8-4913-BE89-D9E14D4EF2B2}"/>
  <bookViews>
    <workbookView xWindow="-120" yWindow="-120" windowWidth="29040" windowHeight="15720" activeTab="1" xr2:uid="{B732C99B-F20C-40EF-AC32-DC1050EFC897}"/>
  </bookViews>
  <sheets>
    <sheet name="Sheet4" sheetId="5" r:id="rId1"/>
    <sheet name="bi" sheetId="1" r:id="rId2"/>
  </sheets>
  <calcPr calcId="191029" calcCompleted="0"/>
  <pivotCaches>
    <pivotCache cacheId="0" r:id="rId3"/>
    <pivotCache cacheId="1" r:id="rId4"/>
    <pivotCache cacheId="2" r:id="rId5"/>
    <pivotCache cacheId="3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G64" i="1"/>
  <c r="G26" i="1"/>
  <c r="G73" i="1"/>
  <c r="G9" i="1"/>
  <c r="G32" i="1"/>
  <c r="G75" i="1"/>
  <c r="G50" i="1"/>
  <c r="G52" i="1"/>
  <c r="G63" i="1"/>
  <c r="G4" i="1"/>
  <c r="G16" i="1"/>
  <c r="G40" i="1"/>
  <c r="G70" i="1"/>
  <c r="G66" i="1"/>
  <c r="G49" i="1"/>
  <c r="G77" i="1"/>
  <c r="G58" i="1"/>
  <c r="G38" i="1"/>
  <c r="G59" i="1"/>
  <c r="G28" i="1"/>
  <c r="G41" i="1"/>
  <c r="G13" i="1"/>
  <c r="G43" i="1"/>
  <c r="G3" i="1"/>
  <c r="G37" i="1"/>
  <c r="G18" i="1"/>
  <c r="G7" i="1"/>
  <c r="G25" i="1"/>
  <c r="G69" i="1"/>
  <c r="G48" i="1"/>
  <c r="G5" i="1"/>
  <c r="G65" i="1"/>
  <c r="G19" i="1"/>
  <c r="G31" i="1"/>
  <c r="G29" i="1"/>
  <c r="G22" i="1"/>
  <c r="G54" i="1"/>
  <c r="G24" i="1"/>
  <c r="G23" i="1"/>
  <c r="G74" i="1"/>
  <c r="G15" i="1"/>
  <c r="G67" i="1"/>
  <c r="G78" i="1"/>
  <c r="G46" i="1"/>
  <c r="G76" i="1"/>
  <c r="G17" i="1"/>
  <c r="G62" i="1"/>
  <c r="G27" i="1"/>
  <c r="G57" i="1"/>
  <c r="G36" i="1"/>
  <c r="G56" i="1"/>
  <c r="G53" i="1"/>
  <c r="G34" i="1"/>
  <c r="G8" i="1"/>
  <c r="G33" i="1"/>
  <c r="G39" i="1"/>
  <c r="G68" i="1"/>
  <c r="G35" i="1"/>
  <c r="G61" i="1"/>
  <c r="G11" i="1"/>
  <c r="G10" i="1"/>
  <c r="G51" i="1"/>
  <c r="G6" i="1"/>
  <c r="G45" i="1"/>
  <c r="G2" i="1"/>
  <c r="G44" i="1"/>
  <c r="G12" i="1"/>
  <c r="G14" i="1"/>
  <c r="G60" i="1"/>
  <c r="G47" i="1"/>
  <c r="G71" i="1"/>
  <c r="G42" i="1"/>
  <c r="G21" i="1"/>
  <c r="G72" i="1"/>
  <c r="G30" i="1"/>
  <c r="G55" i="1"/>
</calcChain>
</file>

<file path=xl/sharedStrings.xml><?xml version="1.0" encoding="utf-8"?>
<sst xmlns="http://schemas.openxmlformats.org/spreadsheetml/2006/main" count="612" uniqueCount="196">
  <si>
    <t>Christina</t>
  </si>
  <si>
    <t>Binger</t>
  </si>
  <si>
    <t>Female</t>
  </si>
  <si>
    <t>Norway</t>
  </si>
  <si>
    <t>Private</t>
  </si>
  <si>
    <t>Masters</t>
  </si>
  <si>
    <t>Alex</t>
  </si>
  <si>
    <t>Walekhwa</t>
  </si>
  <si>
    <t>Kenya</t>
  </si>
  <si>
    <t>Diploma</t>
  </si>
  <si>
    <t>Philip</t>
  </si>
  <si>
    <t>Leo</t>
  </si>
  <si>
    <t>Male</t>
  </si>
  <si>
    <t>Uganda</t>
  </si>
  <si>
    <t>Sognsvann</t>
  </si>
  <si>
    <t>Shoni</t>
  </si>
  <si>
    <t>Hlongwane</t>
  </si>
  <si>
    <t>High School</t>
  </si>
  <si>
    <t>Maria</t>
  </si>
  <si>
    <t>Kedibone</t>
  </si>
  <si>
    <t>South Africa</t>
  </si>
  <si>
    <t>Hannah</t>
  </si>
  <si>
    <t>Hansen</t>
  </si>
  <si>
    <t>BI Residence</t>
  </si>
  <si>
    <t>Ole</t>
  </si>
  <si>
    <t>Johansen</t>
  </si>
  <si>
    <t>Bachelors</t>
  </si>
  <si>
    <t>Lars</t>
  </si>
  <si>
    <t>Olsen</t>
  </si>
  <si>
    <t>Bjørn</t>
  </si>
  <si>
    <t>Larsen</t>
  </si>
  <si>
    <t>Sofie</t>
  </si>
  <si>
    <t>Jensen</t>
  </si>
  <si>
    <t>Denmark</t>
  </si>
  <si>
    <t>Emma</t>
  </si>
  <si>
    <t>de Vries</t>
  </si>
  <si>
    <t>Netherlands</t>
  </si>
  <si>
    <t>Solveig</t>
  </si>
  <si>
    <t>Eliassen</t>
  </si>
  <si>
    <t>Odd</t>
  </si>
  <si>
    <t>Knudsen</t>
  </si>
  <si>
    <t>Grethe</t>
  </si>
  <si>
    <t>Myklebust</t>
  </si>
  <si>
    <t>Marco</t>
  </si>
  <si>
    <t>Rossi</t>
  </si>
  <si>
    <t>Italy</t>
  </si>
  <si>
    <t>Ingrid</t>
  </si>
  <si>
    <t>Eide</t>
  </si>
  <si>
    <t>Hanna</t>
  </si>
  <si>
    <t>Andresen</t>
  </si>
  <si>
    <t>Jorunn</t>
  </si>
  <si>
    <t>Sebastian</t>
  </si>
  <si>
    <t>Kristiansen</t>
  </si>
  <si>
    <t>Camilla</t>
  </si>
  <si>
    <t>Mikkelsen</t>
  </si>
  <si>
    <t>Prof</t>
  </si>
  <si>
    <t>Birkeland</t>
  </si>
  <si>
    <t>Isaksen</t>
  </si>
  <si>
    <t>Kristine</t>
  </si>
  <si>
    <t>Berg</t>
  </si>
  <si>
    <t>Carmen</t>
  </si>
  <si>
    <t>Rodríguez</t>
  </si>
  <si>
    <t>Spain</t>
  </si>
  <si>
    <t>Ahmed</t>
  </si>
  <si>
    <t>Gunnar</t>
  </si>
  <si>
    <t>Brekke</t>
  </si>
  <si>
    <t>Gerd</t>
  </si>
  <si>
    <t>Bakken</t>
  </si>
  <si>
    <t>Aisha</t>
  </si>
  <si>
    <t>Nakaweesi</t>
  </si>
  <si>
    <t>Kato</t>
  </si>
  <si>
    <t>Muwanguzi</t>
  </si>
  <si>
    <t>Nansubuga</t>
  </si>
  <si>
    <t>Nakalema</t>
  </si>
  <si>
    <t>Joakim</t>
  </si>
  <si>
    <t>Edvardsen</t>
  </si>
  <si>
    <t>Don</t>
  </si>
  <si>
    <t>Pettersen</t>
  </si>
  <si>
    <t>Perry</t>
  </si>
  <si>
    <t>Rønning</t>
  </si>
  <si>
    <t>Doctorate</t>
  </si>
  <si>
    <t>Frank</t>
  </si>
  <si>
    <t>Abrahamsen</t>
  </si>
  <si>
    <t>Line</t>
  </si>
  <si>
    <t>Næss</t>
  </si>
  <si>
    <t>Thor</t>
  </si>
  <si>
    <t>Sandvik</t>
  </si>
  <si>
    <t>Petter</t>
  </si>
  <si>
    <t>Ellingsen</t>
  </si>
  <si>
    <t>Sindre</t>
  </si>
  <si>
    <t>Simen</t>
  </si>
  <si>
    <t>Myhre</t>
  </si>
  <si>
    <t>Bjørg</t>
  </si>
  <si>
    <t>Fredriksen</t>
  </si>
  <si>
    <t>Trond</t>
  </si>
  <si>
    <t>Karlsen</t>
  </si>
  <si>
    <t>Emily</t>
  </si>
  <si>
    <t>Thompson</t>
  </si>
  <si>
    <t>Unni</t>
  </si>
  <si>
    <t>Jacobsen</t>
  </si>
  <si>
    <t>Ruth</t>
  </si>
  <si>
    <t>Pedersen</t>
  </si>
  <si>
    <t>Inger</t>
  </si>
  <si>
    <t>Peninah</t>
  </si>
  <si>
    <t>Berit</t>
  </si>
  <si>
    <t>Jenny</t>
  </si>
  <si>
    <t>Kristoffersen</t>
  </si>
  <si>
    <t>Thea</t>
  </si>
  <si>
    <t>Knutsen</t>
  </si>
  <si>
    <t>Dag</t>
  </si>
  <si>
    <t>Arnesen</t>
  </si>
  <si>
    <t>Mwanaidi</t>
  </si>
  <si>
    <t>Ali</t>
  </si>
  <si>
    <t>Chinedu</t>
  </si>
  <si>
    <t>Morison</t>
  </si>
  <si>
    <t>Nigeria</t>
  </si>
  <si>
    <t>Irene</t>
  </si>
  <si>
    <t>Strømertan</t>
  </si>
  <si>
    <t>Okafor</t>
  </si>
  <si>
    <t>Marianne</t>
  </si>
  <si>
    <t>Ruud</t>
  </si>
  <si>
    <t>Jens</t>
  </si>
  <si>
    <t>Lunde</t>
  </si>
  <si>
    <t>Morten</t>
  </si>
  <si>
    <t>Karoline</t>
  </si>
  <si>
    <t>Ola</t>
  </si>
  <si>
    <t>Bakke</t>
  </si>
  <si>
    <t>Tore</t>
  </si>
  <si>
    <t>Caroline</t>
  </si>
  <si>
    <t>Narocho</t>
  </si>
  <si>
    <t>Silvia</t>
  </si>
  <si>
    <t>Valentino</t>
  </si>
  <si>
    <t>Ojiambo</t>
  </si>
  <si>
    <t>Peter</t>
  </si>
  <si>
    <t>Kubebea</t>
  </si>
  <si>
    <t>Anna</t>
  </si>
  <si>
    <t>Müller</t>
  </si>
  <si>
    <t>Germany</t>
  </si>
  <si>
    <t>Lucas</t>
  </si>
  <si>
    <t>Schmidt</t>
  </si>
  <si>
    <t>Marie</t>
  </si>
  <si>
    <t>Dubois</t>
  </si>
  <si>
    <t>France</t>
  </si>
  <si>
    <t>Thomas</t>
  </si>
  <si>
    <t>García</t>
  </si>
  <si>
    <t>Janssen</t>
  </si>
  <si>
    <t>Maximilan</t>
  </si>
  <si>
    <t>Martini</t>
  </si>
  <si>
    <t>Clara</t>
  </si>
  <si>
    <t>Bernard</t>
  </si>
  <si>
    <t>Julian</t>
  </si>
  <si>
    <t>Nielsen</t>
  </si>
  <si>
    <t>Sophie</t>
  </si>
  <si>
    <t>Brown</t>
  </si>
  <si>
    <t>Leon</t>
  </si>
  <si>
    <t>Bauer</t>
  </si>
  <si>
    <t>Mohammed</t>
  </si>
  <si>
    <t>Salim</t>
  </si>
  <si>
    <t>Somalia</t>
  </si>
  <si>
    <t/>
  </si>
  <si>
    <t>United Kingdom</t>
  </si>
  <si>
    <t>firstname</t>
  </si>
  <si>
    <t>lastname</t>
  </si>
  <si>
    <t>age</t>
  </si>
  <si>
    <t>gender</t>
  </si>
  <si>
    <t>country</t>
  </si>
  <si>
    <t>residence</t>
  </si>
  <si>
    <t>entryexamscore</t>
  </si>
  <si>
    <t>previouseducation</t>
  </si>
  <si>
    <t>studyhours</t>
  </si>
  <si>
    <t>python</t>
  </si>
  <si>
    <t>db</t>
  </si>
  <si>
    <t>Row Labels</t>
  </si>
  <si>
    <t>Grand Total</t>
  </si>
  <si>
    <t>Count</t>
  </si>
  <si>
    <t>Count of previouseducation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</si>
  <si>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</si>
  <si>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</si>
  <si>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</si>
  <si>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</si>
  <si>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</si>
  <si>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</si>
  <si>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</si>
  <si>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</si>
  <si>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</si>
  <si>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</si>
  <si>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</si>
  <si>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</si>
  <si>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Designation</t>
  </si>
  <si>
    <t>Age stats</t>
  </si>
  <si>
    <t>Studyhours Stats</t>
  </si>
  <si>
    <t>Python Score Stat</t>
  </si>
  <si>
    <t>DB Score Stat</t>
  </si>
  <si>
    <t>Count of gender</t>
  </si>
  <si>
    <t>Count of country</t>
  </si>
  <si>
    <t>Count of residence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</si>
</sst>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Continuous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Continuous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Continuous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Continuous" vertical="bottom" textRotation="0" wrapText="0" indent="0" justifyLastLine="0" shrinkToFit="0" readingOrder="0"/>
    </dxf>
    <dxf>
      <numFmt numFmtId="1" formatCode="0"/>
      <alignment horizontal="right" vertical="center" textRotation="0" wrapText="0" indent="0" justifyLastLine="0" shrinkToFit="0" readingOrder="0"/>
    </dxf>
    <dxf>
      <numFmt numFmtId="1" formatCode="0"/>
      <alignment horizontal="right" vertical="center" textRotation="0" wrapText="0" indent="0" justifyLastLine="0" shrinkToFit="0" readingOrder="0"/>
    </dxf>
    <dxf>
      <numFmt numFmtId="1" formatCode="0"/>
      <alignment horizontal="right" vertical="center" textRotation="0" wrapText="0" indent="0" justifyLastLine="0" shrinkToFit="0" readingOrder="0"/>
    </dxf>
    <dxf>
      <numFmt numFmtId="1" formatCode="0"/>
      <alignment horizontal="righ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3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2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DES FRU" refreshedDate="46111.673002083335" createdVersion="8" refreshedVersion="8" minRefreshableVersion="3" recordCount="77" xr:uid="{2AC70592-F619-4951-80D4-9CCD40C645C4}">
  <cacheSource type="worksheet">
    <worksheetSource name="students[gender]"/>
  </cacheSource>
  <cacheFields count="1">
    <cacheField name="gender" numFmtId="0">
      <sharedItems count="2">
        <s v="Female"/>
        <s v="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DES FRU" refreshedDate="46111.673900810187" createdVersion="8" refreshedVersion="8" minRefreshableVersion="3" recordCount="77" xr:uid="{CA24EC9E-4CA6-439A-A4E2-259159452443}">
  <cacheSource type="worksheet">
    <worksheetSource name="students[country]"/>
  </cacheSource>
  <cacheFields count="1">
    <cacheField name="country" numFmtId="0">
      <sharedItems count="13">
        <s v="Norway"/>
        <s v="South Africa"/>
        <s v="Uganda"/>
        <s v="Kenya"/>
        <s v="Spain"/>
        <s v="Somalia"/>
        <s v="Denmark"/>
        <s v="Germany"/>
        <s v="United Kingdom"/>
        <s v="Netherlands"/>
        <s v="France"/>
        <s v="Nigeria"/>
        <s v="Ital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DES FRU" refreshedDate="46111.676963425925" createdVersion="8" refreshedVersion="8" minRefreshableVersion="3" recordCount="77" xr:uid="{08D0C0DB-354B-4BA4-AE96-7F5D99266302}">
  <cacheSource type="worksheet">
    <worksheetSource name="students[residence]"/>
  </cacheSource>
  <cacheFields count="1">
    <cacheField name="residence" numFmtId="0">
      <sharedItems count="3">
        <s v="BI Residence"/>
        <s v="Sognsvann"/>
        <s v="Priv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DES FRU" refreshedDate="46111.677547453706" createdVersion="8" refreshedVersion="8" minRefreshableVersion="3" recordCount="77" xr:uid="{662646B4-2B6B-4C45-B510-309E945F2DEE}">
  <cacheSource type="worksheet">
    <worksheetSource name="students[previouseducation]"/>
  </cacheSource>
  <cacheFields count="1">
    <cacheField name="previouseducation" numFmtId="0">
      <sharedItems count="5">
        <s v="High School"/>
        <s v="Bachelors"/>
        <s v="Diploma"/>
        <s v="Masters"/>
        <s v="Doctora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4"/>
  </r>
  <r>
    <x v="0"/>
  </r>
  <r>
    <x v="3"/>
  </r>
  <r>
    <x v="0"/>
  </r>
  <r>
    <x v="0"/>
  </r>
  <r>
    <x v="0"/>
  </r>
  <r>
    <x v="5"/>
  </r>
  <r>
    <x v="0"/>
  </r>
  <r>
    <x v="0"/>
  </r>
  <r>
    <x v="6"/>
  </r>
  <r>
    <x v="7"/>
  </r>
  <r>
    <x v="5"/>
  </r>
  <r>
    <x v="0"/>
  </r>
  <r>
    <x v="0"/>
  </r>
  <r>
    <x v="8"/>
  </r>
  <r>
    <x v="6"/>
  </r>
  <r>
    <x v="7"/>
  </r>
  <r>
    <x v="9"/>
  </r>
  <r>
    <x v="0"/>
  </r>
  <r>
    <x v="10"/>
  </r>
  <r>
    <x v="0"/>
  </r>
  <r>
    <x v="7"/>
  </r>
  <r>
    <x v="11"/>
  </r>
  <r>
    <x v="0"/>
  </r>
  <r>
    <x v="2"/>
  </r>
  <r>
    <x v="0"/>
  </r>
  <r>
    <x v="4"/>
  </r>
  <r>
    <x v="0"/>
  </r>
  <r>
    <x v="0"/>
  </r>
  <r>
    <x v="2"/>
  </r>
  <r>
    <x v="8"/>
  </r>
  <r>
    <x v="9"/>
  </r>
  <r>
    <x v="0"/>
  </r>
  <r>
    <x v="2"/>
  </r>
  <r>
    <x v="0"/>
  </r>
  <r>
    <x v="12"/>
  </r>
  <r>
    <x v="0"/>
  </r>
  <r>
    <x v="1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2"/>
  </r>
  <r>
    <x v="0"/>
  </r>
  <r>
    <x v="0"/>
  </r>
  <r>
    <x v="3"/>
  </r>
  <r>
    <x v="11"/>
  </r>
  <r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2"/>
  </r>
  <r>
    <x v="1"/>
  </r>
  <r>
    <x v="1"/>
  </r>
  <r>
    <x v="1"/>
  </r>
  <r>
    <x v="2"/>
  </r>
  <r>
    <x v="3"/>
  </r>
  <r>
    <x v="1"/>
  </r>
  <r>
    <x v="1"/>
  </r>
  <r>
    <x v="3"/>
  </r>
  <r>
    <x v="3"/>
  </r>
  <r>
    <x v="1"/>
  </r>
  <r>
    <x v="1"/>
  </r>
  <r>
    <x v="2"/>
  </r>
  <r>
    <x v="3"/>
  </r>
  <r>
    <x v="1"/>
  </r>
  <r>
    <x v="3"/>
  </r>
  <r>
    <x v="1"/>
  </r>
  <r>
    <x v="2"/>
  </r>
  <r>
    <x v="1"/>
  </r>
  <r>
    <x v="3"/>
  </r>
  <r>
    <x v="3"/>
  </r>
  <r>
    <x v="2"/>
  </r>
  <r>
    <x v="2"/>
  </r>
  <r>
    <x v="2"/>
  </r>
  <r>
    <x v="1"/>
  </r>
  <r>
    <x v="1"/>
  </r>
  <r>
    <x v="2"/>
  </r>
  <r>
    <x v="3"/>
  </r>
  <r>
    <x v="1"/>
  </r>
  <r>
    <x v="3"/>
  </r>
  <r>
    <x v="3"/>
  </r>
  <r>
    <x v="2"/>
  </r>
  <r>
    <x v="1"/>
  </r>
  <r>
    <x v="3"/>
  </r>
  <r>
    <x v="1"/>
  </r>
  <r>
    <x v="4"/>
  </r>
  <r>
    <x v="1"/>
  </r>
  <r>
    <x v="1"/>
  </r>
  <r>
    <x v="3"/>
  </r>
  <r>
    <x v="2"/>
  </r>
  <r>
    <x v="3"/>
  </r>
  <r>
    <x v="1"/>
  </r>
  <r>
    <x v="3"/>
  </r>
  <r>
    <x v="2"/>
  </r>
  <r>
    <x v="4"/>
  </r>
  <r>
    <x v="1"/>
  </r>
  <r>
    <x v="4"/>
  </r>
  <r>
    <x v="1"/>
  </r>
  <r>
    <x v="3"/>
  </r>
  <r>
    <x v="1"/>
  </r>
  <r>
    <x v="3"/>
  </r>
  <r>
    <x v="2"/>
  </r>
  <r>
    <x v="4"/>
  </r>
  <r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3E72A-8D78-42CB-9AC1-226BF2F178A7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21:Q35" firstHeaderRow="1" firstDataRow="1" firstDataCol="1"/>
  <pivotFields count="1">
    <pivotField axis="axisRow" dataField="1" showAll="0">
      <items count="14">
        <item x="6"/>
        <item x="10"/>
        <item x="7"/>
        <item x="12"/>
        <item x="3"/>
        <item x="9"/>
        <item x="11"/>
        <item x="0"/>
        <item x="5"/>
        <item x="1"/>
        <item x="4"/>
        <item x="2"/>
        <item x="8"/>
        <item t="default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countr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D362D-5F13-4AA8-829D-558F271527D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21:N24" firstHeaderRow="1" firstDataRow="1" firstDataCol="1"/>
  <pivotFields count="1">
    <pivotField axis="axisRow" dataField="1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gen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A8951B-2969-4C3F-A1C1-6C9A3E0EDBA4}" name="PivotTable1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37:T43" firstHeaderRow="1" firstDataRow="1" firstDataCol="1"/>
  <pivotFields count="1">
    <pivotField axis="axisRow" dataField="1" showAll="0">
      <items count="6">
        <item x="1"/>
        <item x="2"/>
        <item x="4"/>
        <item x="0"/>
        <item x="3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reviouseducation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5C953-06AD-4494-B3BF-C0C030E8156E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21:T25" firstHeaderRow="1" firstDataRow="1" firstDataCol="1"/>
  <pivotFields count="1">
    <pivotField axis="axisRow" dataField="1" showAll="0">
      <items count="4">
        <item x="0"/>
        <item x="2"/>
        <item x="1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esidenc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966EE86-4E8C-4A27-94C1-E15ED20A705E}" name="students" displayName="students" ref="A1:K78" totalsRowShown="0">
  <autoFilter ref="A1:K78" xr:uid="{1966EE86-4E8C-4A27-94C1-E15ED20A705E}"/>
  <sortState xmlns:xlrd2="http://schemas.microsoft.com/office/spreadsheetml/2017/richdata2" ref="A2:K78">
    <sortCondition ref="C1:C78"/>
  </sortState>
  <tableColumns count="11">
    <tableColumn id="1" xr3:uid="{95F125AF-A958-44D0-AA3F-660BD3470241}" name="firstname"/>
    <tableColumn id="2" xr3:uid="{D4832803-8F70-4763-8167-1134682789CE}" name="lastname"/>
    <tableColumn id="3" xr3:uid="{80F3EADC-FE34-44E7-9366-C855014DA995}" name="age"/>
    <tableColumn id="4" xr3:uid="{785676AE-9E73-4BA8-8A1A-E43C407B497E}" name="gender"/>
    <tableColumn id="5" xr3:uid="{4B5B0634-B8CA-40BE-82E0-FCF7B0A03644}" name="country"/>
    <tableColumn id="6" xr3:uid="{EFEF4F97-8790-4400-A3EE-4C2DC4EA53A0}" name="residence"/>
    <tableColumn id="7" xr3:uid="{C1A47E43-2344-4924-A3B8-B0CCD2D9AE3D}" name="entryexamscore" dataDxfId="27">
      <calculatedColumnFormula>students[[#This Row],[entryexamscore]]</calculatedColumnFormula>
    </tableColumn>
    <tableColumn id="8" xr3:uid="{233C6B4F-789F-4868-A352-02D41B2EBC4D}" name="previouseducation"/>
    <tableColumn id="9" xr3:uid="{0A000C75-7749-44F4-8088-7C3158747E58}" name="studyhours" dataDxfId="26"/>
    <tableColumn id="10" xr3:uid="{70490DFD-6398-4846-85B9-08431ADB3332}" name="python" dataDxfId="25"/>
    <tableColumn id="11" xr3:uid="{9DA69A4E-AFFC-4A7C-9899-8B9F5F9D4C38}" name="db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84E815-E529-4D21-88B0-D58C4ED49A43}" name="Table1" displayName="Table1" ref="M3:N17" totalsRowShown="0" headerRowDxfId="23" dataDxfId="21" headerRowBorderDxfId="22" tableBorderDxfId="20">
  <autoFilter ref="M3:N17" xr:uid="{7284E815-E529-4D21-88B0-D58C4ED49A43}"/>
  <tableColumns count="2">
    <tableColumn id="1" xr3:uid="{6BC47F68-1902-4088-B91B-7662C370D4DA}" name="Designation" dataDxfId="19"/>
    <tableColumn id="2" xr3:uid="{9B082835-9A70-4DCE-BE0B-0FB5A3C19B0A}" name="Studyhours Stats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76DD4D-4657-4247-8C0F-9CCDA61E9D04}" name="Table2" displayName="Table2" ref="P3:Q17" totalsRowShown="0" headerRowDxfId="17" dataDxfId="15" headerRowBorderDxfId="16" tableBorderDxfId="14">
  <autoFilter ref="P3:Q17" xr:uid="{7476DD4D-4657-4247-8C0F-9CCDA61E9D04}"/>
  <tableColumns count="2">
    <tableColumn id="1" xr3:uid="{9B7CC373-6FA8-4EE2-BE19-C0397B9A3E70}" name="Designation" dataDxfId="13"/>
    <tableColumn id="2" xr3:uid="{654973AB-1F23-4076-AA02-A3333A843A80}" name="Python Score Stat" dataDxfId="1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A9A4BD-0A44-4A67-8138-660819C966FC}" name="Table3" displayName="Table3" ref="S3:T17" totalsRowShown="0" headerRowDxfId="11" dataDxfId="9" headerRowBorderDxfId="10" tableBorderDxfId="8">
  <autoFilter ref="S3:T17" xr:uid="{8EA9A4BD-0A44-4A67-8138-660819C966FC}"/>
  <tableColumns count="2">
    <tableColumn id="1" xr3:uid="{64C83F3E-E94F-4869-8464-6200C941A5A6}" name="Designation" dataDxfId="7"/>
    <tableColumn id="2" xr3:uid="{BDF330BE-304B-4273-BF25-3A9B10ED13F7}" name="DB Score Stat" dataDxfId="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F059DBF-494E-4FD8-AC43-E9D61219FBFC}" name="Table4" displayName="Table4" ref="M35:N49" totalsRowShown="0" headerRowDxfId="5" dataDxfId="3" headerRowBorderDxfId="4" tableBorderDxfId="2">
  <autoFilter ref="M35:N49" xr:uid="{EF059DBF-494E-4FD8-AC43-E9D61219FBFC}"/>
  <tableColumns count="2">
    <tableColumn id="1" xr3:uid="{B9D22327-2C8D-4D5C-A426-75BB5B7A4A12}" name="Designation" dataDxfId="1"/>
    <tableColumn id="2" xr3:uid="{85FF859A-5C51-4210-B42D-064F8AB4B2A6}" name="Age sta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10" Type="http://schemas.openxmlformats.org/officeDocument/2006/relationships/table" Target="../tables/table5.xml"/><Relationship Id="rId4" Type="http://schemas.openxmlformats.org/officeDocument/2006/relationships/pivotTable" Target="../pivotTables/pivotTable4.xml"/><Relationship Id="rId9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55191-EF09-45C4-8702-04409DFC9E37}">
  <dimension ref="A1"/>
  <sheetViews>
    <sheetView workbookViewId="0">
      <selection activeCell="C9" sqref="A3:C9"/>
    </sheetView>
  </sheetViews>
  <sheetFormatPr defaultRowHeight="15" x14ac:dyDescent="0.25"/>
  <cols>
    <col min="1" max="1" width="13.42578125" bestFit="1" customWidth="1"/>
    <col min="2" max="2" width="26.71093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4CE73-E3E7-44BB-8E5C-DF889EA74100}">
  <dimension ref="A1:T82"/>
  <sheetViews>
    <sheetView tabSelected="1" topLeftCell="E1" zoomScale="90" zoomScaleNormal="90" workbookViewId="0">
      <selection activeCell="H7" sqref="H7"/>
    </sheetView>
  </sheetViews>
  <sheetFormatPr defaultRowHeight="15" x14ac:dyDescent="0.25"/>
  <cols>
    <col min="1" max="1" width="12" bestFit="1" customWidth="1"/>
    <col min="2" max="2" width="12.28515625" bestFit="1" customWidth="1"/>
    <col min="3" max="3" width="6.42578125" bestFit="1" customWidth="1"/>
    <col min="4" max="4" width="9.5703125" bestFit="1" customWidth="1"/>
    <col min="5" max="5" width="15.140625" bestFit="1" customWidth="1"/>
    <col min="6" max="6" width="12.28515625" bestFit="1" customWidth="1"/>
    <col min="7" max="7" width="15.7109375" style="3" bestFit="1" customWidth="1"/>
    <col min="8" max="8" width="20.42578125" bestFit="1" customWidth="1"/>
    <col min="9" max="9" width="13.42578125" style="2" bestFit="1" customWidth="1"/>
    <col min="10" max="10" width="9.5703125" style="2" bestFit="1" customWidth="1"/>
    <col min="11" max="11" width="5.5703125" style="1" bestFit="1" customWidth="1"/>
    <col min="12" max="12" width="16.85546875" style="2" customWidth="1"/>
    <col min="13" max="13" width="18" bestFit="1" customWidth="1"/>
    <col min="14" max="14" width="18" customWidth="1"/>
    <col min="15" max="15" width="15.140625" bestFit="1" customWidth="1"/>
    <col min="16" max="16" width="18" bestFit="1" customWidth="1"/>
    <col min="17" max="17" width="18.42578125" customWidth="1"/>
    <col min="18" max="18" width="15.140625" bestFit="1" customWidth="1"/>
    <col min="19" max="19" width="18" bestFit="1" customWidth="1"/>
    <col min="20" max="20" width="26.7109375" bestFit="1" customWidth="1"/>
    <col min="21" max="21" width="13.42578125" bestFit="1" customWidth="1"/>
    <col min="22" max="22" width="26.7109375" bestFit="1" customWidth="1"/>
  </cols>
  <sheetData>
    <row r="1" spans="1:20" x14ac:dyDescent="0.25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s="3" t="s">
        <v>167</v>
      </c>
      <c r="H1" t="s">
        <v>168</v>
      </c>
      <c r="I1" s="2" t="s">
        <v>169</v>
      </c>
      <c r="J1" s="2" t="s">
        <v>170</v>
      </c>
      <c r="K1" s="1" t="s">
        <v>171</v>
      </c>
    </row>
    <row r="2" spans="1:20" x14ac:dyDescent="0.25">
      <c r="A2" t="s">
        <v>29</v>
      </c>
      <c r="B2" t="s">
        <v>101</v>
      </c>
      <c r="C2">
        <v>21</v>
      </c>
      <c r="D2" t="s">
        <v>2</v>
      </c>
      <c r="E2" t="s">
        <v>3</v>
      </c>
      <c r="F2" t="s">
        <v>23</v>
      </c>
      <c r="G2" s="3" t="str">
        <f ca="1">students[[#This Row],[entryexamscore]]</f>
        <v>70</v>
      </c>
      <c r="H2" t="s">
        <v>17</v>
      </c>
      <c r="I2" s="3">
        <v>138</v>
      </c>
      <c r="J2" s="3">
        <v>69</v>
      </c>
      <c r="K2" s="3">
        <v>47</v>
      </c>
      <c r="M2" s="6"/>
      <c r="N2" s="6"/>
      <c r="P2" s="6"/>
      <c r="Q2" s="6"/>
      <c r="S2" s="6"/>
      <c r="T2" s="6"/>
    </row>
    <row r="3" spans="1:20" x14ac:dyDescent="0.25">
      <c r="A3" t="s">
        <v>55</v>
      </c>
      <c r="B3" t="s">
        <v>56</v>
      </c>
      <c r="C3">
        <v>22</v>
      </c>
      <c r="D3" t="s">
        <v>12</v>
      </c>
      <c r="E3" t="s">
        <v>3</v>
      </c>
      <c r="F3" t="s">
        <v>23</v>
      </c>
      <c r="G3" s="3" t="str">
        <f ca="1">students[[#This Row],[entryexamscore]]</f>
        <v>45</v>
      </c>
      <c r="H3" t="s">
        <v>17</v>
      </c>
      <c r="I3" s="3">
        <v>116</v>
      </c>
      <c r="J3" s="3">
        <v>33</v>
      </c>
      <c r="K3" s="3">
        <v>30</v>
      </c>
      <c r="M3" s="6" t="s">
        <v>188</v>
      </c>
      <c r="N3" s="6" t="s">
        <v>190</v>
      </c>
      <c r="P3" s="6" t="s">
        <v>188</v>
      </c>
      <c r="Q3" s="6" t="s">
        <v>191</v>
      </c>
      <c r="S3" s="6" t="s">
        <v>188</v>
      </c>
      <c r="T3" s="6" t="s">
        <v>192</v>
      </c>
    </row>
    <row r="4" spans="1:20" x14ac:dyDescent="0.25">
      <c r="A4" t="s">
        <v>15</v>
      </c>
      <c r="B4" t="s">
        <v>16</v>
      </c>
      <c r="C4">
        <v>22</v>
      </c>
      <c r="D4" t="s">
        <v>2</v>
      </c>
      <c r="E4" t="s">
        <v>20</v>
      </c>
      <c r="F4" t="s">
        <v>14</v>
      </c>
      <c r="G4" s="3" t="str">
        <f ca="1">students[[#This Row],[entryexamscore]]</f>
        <v>40</v>
      </c>
      <c r="H4" t="s">
        <v>17</v>
      </c>
      <c r="I4" s="3">
        <v>120</v>
      </c>
      <c r="J4" s="3"/>
      <c r="K4" s="3">
        <v>44</v>
      </c>
    </row>
    <row r="5" spans="1:20" x14ac:dyDescent="0.25">
      <c r="A5" t="s">
        <v>127</v>
      </c>
      <c r="B5" t="s">
        <v>82</v>
      </c>
      <c r="C5">
        <v>22</v>
      </c>
      <c r="D5" t="s">
        <v>2</v>
      </c>
      <c r="E5" t="s">
        <v>3</v>
      </c>
      <c r="F5" t="s">
        <v>23</v>
      </c>
      <c r="G5" s="3" t="str">
        <f ca="1">students[[#This Row],[entryexamscore]]</f>
        <v>73</v>
      </c>
      <c r="H5" t="s">
        <v>17</v>
      </c>
      <c r="I5" s="3">
        <v>144</v>
      </c>
      <c r="J5" s="3">
        <v>70</v>
      </c>
      <c r="K5" s="3">
        <v>55</v>
      </c>
      <c r="M5" t="s">
        <v>176</v>
      </c>
      <c r="N5">
        <v>149.71428571428572</v>
      </c>
      <c r="P5" t="s">
        <v>176</v>
      </c>
      <c r="Q5">
        <v>75.853333333333339</v>
      </c>
      <c r="S5" t="s">
        <v>176</v>
      </c>
      <c r="T5">
        <v>69.467532467532465</v>
      </c>
    </row>
    <row r="6" spans="1:20" x14ac:dyDescent="0.25">
      <c r="A6" t="s">
        <v>103</v>
      </c>
      <c r="B6" t="s">
        <v>49</v>
      </c>
      <c r="C6">
        <v>22</v>
      </c>
      <c r="D6" t="s">
        <v>2</v>
      </c>
      <c r="E6" t="s">
        <v>3</v>
      </c>
      <c r="F6" t="s">
        <v>23</v>
      </c>
      <c r="G6" s="3" t="str">
        <f ca="1">students[[#This Row],[entryexamscore]]</f>
        <v>78</v>
      </c>
      <c r="H6" t="s">
        <v>17</v>
      </c>
      <c r="I6" s="3">
        <v>148</v>
      </c>
      <c r="J6" s="3">
        <v>78</v>
      </c>
      <c r="K6" s="3">
        <v>74</v>
      </c>
      <c r="M6" t="s">
        <v>177</v>
      </c>
      <c r="N6">
        <v>1.4522306060105894</v>
      </c>
      <c r="P6" t="s">
        <v>177</v>
      </c>
      <c r="Q6">
        <v>1.7794313630977661</v>
      </c>
      <c r="S6" t="s">
        <v>177</v>
      </c>
      <c r="T6">
        <v>1.9411703468906187</v>
      </c>
    </row>
    <row r="7" spans="1:20" x14ac:dyDescent="0.25">
      <c r="A7" t="s">
        <v>18</v>
      </c>
      <c r="B7" t="s">
        <v>19</v>
      </c>
      <c r="C7">
        <v>23</v>
      </c>
      <c r="D7" t="s">
        <v>2</v>
      </c>
      <c r="E7" t="s">
        <v>20</v>
      </c>
      <c r="F7" t="s">
        <v>14</v>
      </c>
      <c r="G7" s="3" t="str">
        <f ca="1">students[[#This Row],[entryexamscore]]</f>
        <v>65</v>
      </c>
      <c r="H7" t="s">
        <v>17</v>
      </c>
      <c r="I7" s="3">
        <v>122</v>
      </c>
      <c r="J7" s="3">
        <v>91</v>
      </c>
      <c r="K7" s="3">
        <v>80</v>
      </c>
      <c r="M7" t="s">
        <v>178</v>
      </c>
      <c r="N7">
        <v>156</v>
      </c>
      <c r="P7" t="s">
        <v>178</v>
      </c>
      <c r="Q7">
        <v>81</v>
      </c>
      <c r="S7" t="s">
        <v>178</v>
      </c>
      <c r="T7">
        <v>71</v>
      </c>
    </row>
    <row r="8" spans="1:20" x14ac:dyDescent="0.25">
      <c r="A8" t="s">
        <v>81</v>
      </c>
      <c r="B8" t="s">
        <v>82</v>
      </c>
      <c r="C8">
        <v>23</v>
      </c>
      <c r="D8" t="s">
        <v>12</v>
      </c>
      <c r="E8" t="s">
        <v>3</v>
      </c>
      <c r="F8" t="s">
        <v>23</v>
      </c>
      <c r="G8" s="3" t="str">
        <f ca="1">students[[#This Row],[entryexamscore]]</f>
        <v>68</v>
      </c>
      <c r="H8" t="s">
        <v>17</v>
      </c>
      <c r="I8" s="3">
        <v>152</v>
      </c>
      <c r="J8" s="3"/>
      <c r="K8" s="3">
        <v>70</v>
      </c>
      <c r="M8" t="s">
        <v>179</v>
      </c>
      <c r="N8">
        <v>156</v>
      </c>
      <c r="P8" t="s">
        <v>179</v>
      </c>
      <c r="Q8">
        <v>87</v>
      </c>
      <c r="S8" t="s">
        <v>179</v>
      </c>
      <c r="T8">
        <v>90</v>
      </c>
    </row>
    <row r="9" spans="1:20" x14ac:dyDescent="0.25">
      <c r="A9" t="s">
        <v>128</v>
      </c>
      <c r="B9" t="s">
        <v>129</v>
      </c>
      <c r="C9">
        <v>23</v>
      </c>
      <c r="D9" t="s">
        <v>2</v>
      </c>
      <c r="E9" t="s">
        <v>3</v>
      </c>
      <c r="F9" t="s">
        <v>23</v>
      </c>
      <c r="G9" s="3" t="str">
        <f ca="1">students[[#This Row],[entryexamscore]]</f>
        <v>90</v>
      </c>
      <c r="H9" t="s">
        <v>17</v>
      </c>
      <c r="I9" s="3">
        <v>160</v>
      </c>
      <c r="J9" s="3">
        <v>87</v>
      </c>
      <c r="K9" s="3">
        <v>73</v>
      </c>
      <c r="M9" t="s">
        <v>180</v>
      </c>
      <c r="N9">
        <v>12.743271850023802</v>
      </c>
      <c r="P9" t="s">
        <v>180</v>
      </c>
      <c r="Q9">
        <v>15.41032764733437</v>
      </c>
      <c r="S9" t="s">
        <v>180</v>
      </c>
      <c r="T9">
        <v>17.033700663826792</v>
      </c>
    </row>
    <row r="10" spans="1:20" x14ac:dyDescent="0.25">
      <c r="A10" t="s">
        <v>48</v>
      </c>
      <c r="B10" t="s">
        <v>57</v>
      </c>
      <c r="C10">
        <v>24</v>
      </c>
      <c r="D10" t="s">
        <v>2</v>
      </c>
      <c r="E10" t="s">
        <v>3</v>
      </c>
      <c r="F10" t="s">
        <v>23</v>
      </c>
      <c r="G10" s="3" t="str">
        <f ca="1">students[[#This Row],[entryexamscore]]</f>
        <v>50</v>
      </c>
      <c r="H10" t="s">
        <v>17</v>
      </c>
      <c r="I10" s="3">
        <v>114</v>
      </c>
      <c r="J10" s="3">
        <v>30</v>
      </c>
      <c r="K10" s="3">
        <v>50</v>
      </c>
      <c r="M10" t="s">
        <v>181</v>
      </c>
      <c r="N10">
        <v>162.39097744360905</v>
      </c>
      <c r="P10" t="s">
        <v>181</v>
      </c>
      <c r="Q10">
        <v>237.47819819819807</v>
      </c>
      <c r="S10" t="s">
        <v>181</v>
      </c>
      <c r="T10">
        <v>290.14695830485329</v>
      </c>
    </row>
    <row r="11" spans="1:20" x14ac:dyDescent="0.25">
      <c r="A11" t="s">
        <v>104</v>
      </c>
      <c r="B11" t="s">
        <v>47</v>
      </c>
      <c r="C11">
        <v>24</v>
      </c>
      <c r="D11" t="s">
        <v>2</v>
      </c>
      <c r="E11" t="s">
        <v>3</v>
      </c>
      <c r="F11" t="s">
        <v>23</v>
      </c>
      <c r="G11" s="3" t="str">
        <f ca="1">students[[#This Row],[entryexamscore]]</f>
        <v>54</v>
      </c>
      <c r="H11" t="s">
        <v>17</v>
      </c>
      <c r="I11" s="3">
        <v>136</v>
      </c>
      <c r="J11" s="3">
        <v>57</v>
      </c>
      <c r="K11" s="3">
        <v>50</v>
      </c>
      <c r="M11" t="s">
        <v>182</v>
      </c>
      <c r="N11">
        <v>1.0575387827888703</v>
      </c>
      <c r="P11" t="s">
        <v>182</v>
      </c>
      <c r="Q11">
        <v>4.1743828138141588</v>
      </c>
      <c r="S11" t="s">
        <v>182</v>
      </c>
      <c r="T11">
        <v>-0.8696269516621089</v>
      </c>
    </row>
    <row r="12" spans="1:20" x14ac:dyDescent="0.25">
      <c r="A12" t="s">
        <v>21</v>
      </c>
      <c r="B12" t="s">
        <v>22</v>
      </c>
      <c r="C12">
        <v>25</v>
      </c>
      <c r="D12" t="s">
        <v>2</v>
      </c>
      <c r="E12" t="s">
        <v>3</v>
      </c>
      <c r="F12" t="s">
        <v>23</v>
      </c>
      <c r="G12" s="3" t="str">
        <f ca="1">students[[#This Row],[entryexamscore]]</f>
        <v>66</v>
      </c>
      <c r="H12" t="s">
        <v>17</v>
      </c>
      <c r="I12" s="3">
        <v>130</v>
      </c>
      <c r="J12" s="3">
        <v>88</v>
      </c>
      <c r="K12" s="3">
        <v>59</v>
      </c>
      <c r="M12" t="s">
        <v>183</v>
      </c>
      <c r="N12">
        <v>-1.4681204661782743</v>
      </c>
      <c r="P12" t="s">
        <v>183</v>
      </c>
      <c r="Q12">
        <v>-2.0240315193269831</v>
      </c>
      <c r="S12" t="s">
        <v>183</v>
      </c>
      <c r="T12">
        <v>-0.20591875199258952</v>
      </c>
    </row>
    <row r="13" spans="1:20" x14ac:dyDescent="0.25">
      <c r="A13" t="s">
        <v>10</v>
      </c>
      <c r="B13" t="s">
        <v>11</v>
      </c>
      <c r="C13">
        <v>25</v>
      </c>
      <c r="D13" t="s">
        <v>12</v>
      </c>
      <c r="E13" t="s">
        <v>13</v>
      </c>
      <c r="F13" t="s">
        <v>14</v>
      </c>
      <c r="G13" s="3" t="str">
        <f ca="1">students[[#This Row],[entryexamscore]]</f>
        <v>55</v>
      </c>
      <c r="H13" t="s">
        <v>17</v>
      </c>
      <c r="I13" s="3">
        <v>130</v>
      </c>
      <c r="J13" s="3">
        <v>74</v>
      </c>
      <c r="K13" s="3">
        <v>50</v>
      </c>
      <c r="M13" t="s">
        <v>184</v>
      </c>
      <c r="N13">
        <v>46</v>
      </c>
      <c r="P13" t="s">
        <v>184</v>
      </c>
      <c r="Q13">
        <v>76</v>
      </c>
      <c r="S13" t="s">
        <v>184</v>
      </c>
      <c r="T13">
        <v>70</v>
      </c>
    </row>
    <row r="14" spans="1:20" x14ac:dyDescent="0.25">
      <c r="A14" t="s">
        <v>121</v>
      </c>
      <c r="B14" t="s">
        <v>122</v>
      </c>
      <c r="C14">
        <v>25</v>
      </c>
      <c r="D14" t="s">
        <v>12</v>
      </c>
      <c r="E14" t="s">
        <v>3</v>
      </c>
      <c r="F14" t="s">
        <v>23</v>
      </c>
      <c r="G14" s="3" t="str">
        <f ca="1">students[[#This Row],[entryexamscore]]</f>
        <v>90</v>
      </c>
      <c r="H14" t="s">
        <v>17</v>
      </c>
      <c r="I14" s="3">
        <v>156</v>
      </c>
      <c r="J14" s="3">
        <v>81</v>
      </c>
      <c r="K14" s="3">
        <v>100</v>
      </c>
      <c r="M14" t="s">
        <v>185</v>
      </c>
      <c r="N14">
        <v>114</v>
      </c>
      <c r="P14" t="s">
        <v>185</v>
      </c>
      <c r="Q14">
        <v>15</v>
      </c>
      <c r="S14" t="s">
        <v>185</v>
      </c>
      <c r="T14">
        <v>30</v>
      </c>
    </row>
    <row r="15" spans="1:20" x14ac:dyDescent="0.25">
      <c r="A15" t="s">
        <v>130</v>
      </c>
      <c r="B15" t="s">
        <v>59</v>
      </c>
      <c r="C15">
        <v>25</v>
      </c>
      <c r="D15" t="s">
        <v>2</v>
      </c>
      <c r="E15" t="s">
        <v>3</v>
      </c>
      <c r="F15" t="s">
        <v>23</v>
      </c>
      <c r="G15" s="3" t="str">
        <f ca="1">students[[#This Row],[entryexamscore]]</f>
        <v>81</v>
      </c>
      <c r="H15" t="s">
        <v>17</v>
      </c>
      <c r="I15" s="3">
        <v>158</v>
      </c>
      <c r="J15" s="3">
        <v>85</v>
      </c>
      <c r="K15" s="3">
        <v>46</v>
      </c>
      <c r="M15" t="s">
        <v>186</v>
      </c>
      <c r="N15">
        <v>160</v>
      </c>
      <c r="P15" t="s">
        <v>186</v>
      </c>
      <c r="Q15">
        <v>91</v>
      </c>
      <c r="S15" t="s">
        <v>186</v>
      </c>
      <c r="T15">
        <v>100</v>
      </c>
    </row>
    <row r="16" spans="1:20" x14ac:dyDescent="0.25">
      <c r="A16" t="s">
        <v>83</v>
      </c>
      <c r="B16" t="s">
        <v>84</v>
      </c>
      <c r="C16">
        <v>25</v>
      </c>
      <c r="D16" t="s">
        <v>2</v>
      </c>
      <c r="E16" t="s">
        <v>3</v>
      </c>
      <c r="F16" t="s">
        <v>23</v>
      </c>
      <c r="G16" s="3" t="str">
        <f ca="1">students[[#This Row],[entryexamscore]]</f>
        <v>98</v>
      </c>
      <c r="H16" t="s">
        <v>17</v>
      </c>
      <c r="I16" s="3">
        <v>160</v>
      </c>
      <c r="J16" s="3">
        <v>90</v>
      </c>
      <c r="K16" s="3">
        <v>90</v>
      </c>
      <c r="M16" t="s">
        <v>187</v>
      </c>
      <c r="N16">
        <v>11528</v>
      </c>
      <c r="P16" t="s">
        <v>187</v>
      </c>
      <c r="Q16">
        <v>5689</v>
      </c>
      <c r="S16" t="s">
        <v>187</v>
      </c>
      <c r="T16">
        <v>5349</v>
      </c>
    </row>
    <row r="17" spans="1:20" x14ac:dyDescent="0.25">
      <c r="A17" t="s">
        <v>105</v>
      </c>
      <c r="B17" t="s">
        <v>106</v>
      </c>
      <c r="C17">
        <v>26</v>
      </c>
      <c r="D17" t="s">
        <v>2</v>
      </c>
      <c r="E17" t="s">
        <v>3</v>
      </c>
      <c r="F17" t="s">
        <v>23</v>
      </c>
      <c r="G17" s="3" t="str">
        <f ca="1">students[[#This Row],[entryexamscore]]</f>
        <v>68</v>
      </c>
      <c r="H17" t="s">
        <v>17</v>
      </c>
      <c r="I17" s="3">
        <v>124</v>
      </c>
      <c r="J17" s="3">
        <v>48</v>
      </c>
      <c r="K17" s="3">
        <v>62</v>
      </c>
      <c r="M17" t="s">
        <v>174</v>
      </c>
      <c r="N17">
        <v>77</v>
      </c>
      <c r="P17" t="s">
        <v>174</v>
      </c>
      <c r="Q17">
        <v>75</v>
      </c>
      <c r="S17" t="s">
        <v>174</v>
      </c>
      <c r="T17">
        <v>77</v>
      </c>
    </row>
    <row r="18" spans="1:20" x14ac:dyDescent="0.25">
      <c r="A18" t="s">
        <v>58</v>
      </c>
      <c r="B18" t="s">
        <v>59</v>
      </c>
      <c r="C18">
        <v>26</v>
      </c>
      <c r="D18" t="s">
        <v>2</v>
      </c>
      <c r="E18" t="s">
        <v>3</v>
      </c>
      <c r="F18" t="s">
        <v>23</v>
      </c>
      <c r="G18" s="3" t="str">
        <f ca="1">students[[#This Row],[entryexamscore]]</f>
        <v>55</v>
      </c>
      <c r="H18" t="s">
        <v>17</v>
      </c>
      <c r="I18" s="3">
        <v>140</v>
      </c>
      <c r="J18" s="3">
        <v>61</v>
      </c>
      <c r="K18" s="3">
        <v>56</v>
      </c>
    </row>
    <row r="19" spans="1:20" x14ac:dyDescent="0.25">
      <c r="A19" t="s">
        <v>124</v>
      </c>
      <c r="B19" t="s">
        <v>63</v>
      </c>
      <c r="C19">
        <v>26</v>
      </c>
      <c r="D19" t="s">
        <v>2</v>
      </c>
      <c r="E19" t="s">
        <v>3</v>
      </c>
      <c r="F19" t="s">
        <v>23</v>
      </c>
      <c r="G19" s="3" t="str">
        <f ca="1">students[[#This Row],[entryexamscore]]</f>
        <v>76</v>
      </c>
      <c r="H19" t="s">
        <v>17</v>
      </c>
      <c r="I19" s="3">
        <v>156</v>
      </c>
      <c r="J19" s="3">
        <v>84</v>
      </c>
      <c r="K19" s="3">
        <v>61</v>
      </c>
    </row>
    <row r="20" spans="1:20" x14ac:dyDescent="0.25">
      <c r="A20" t="s">
        <v>24</v>
      </c>
      <c r="B20" t="s">
        <v>25</v>
      </c>
      <c r="C20">
        <v>27</v>
      </c>
      <c r="D20" t="s">
        <v>12</v>
      </c>
      <c r="E20" t="s">
        <v>3</v>
      </c>
      <c r="F20" t="s">
        <v>23</v>
      </c>
      <c r="G20" s="3" t="str">
        <f ca="1">students[[#This Row],[entryexamscore]]</f>
        <v>90</v>
      </c>
      <c r="H20" t="s">
        <v>26</v>
      </c>
      <c r="I20" s="3">
        <v>156</v>
      </c>
      <c r="J20" s="3">
        <v>80</v>
      </c>
      <c r="K20" s="3">
        <v>91</v>
      </c>
    </row>
    <row r="21" spans="1:20" x14ac:dyDescent="0.25">
      <c r="A21" t="s">
        <v>131</v>
      </c>
      <c r="B21" t="s">
        <v>132</v>
      </c>
      <c r="C21">
        <v>27</v>
      </c>
      <c r="D21" t="s">
        <v>12</v>
      </c>
      <c r="E21" t="s">
        <v>8</v>
      </c>
      <c r="F21" t="s">
        <v>14</v>
      </c>
      <c r="G21" s="3" t="str">
        <f ca="1">students[[#This Row],[entryexamscore]]</f>
        <v>85</v>
      </c>
      <c r="H21" t="s">
        <v>26</v>
      </c>
      <c r="I21" s="3">
        <v>156</v>
      </c>
      <c r="J21" s="3">
        <v>84</v>
      </c>
      <c r="K21" s="3">
        <v>68</v>
      </c>
      <c r="M21" s="4" t="s">
        <v>172</v>
      </c>
      <c r="N21" t="s">
        <v>193</v>
      </c>
      <c r="P21" s="4" t="s">
        <v>172</v>
      </c>
      <c r="Q21" t="s">
        <v>194</v>
      </c>
      <c r="S21" s="4" t="s">
        <v>172</v>
      </c>
      <c r="T21" t="s">
        <v>195</v>
      </c>
    </row>
    <row r="22" spans="1:20" x14ac:dyDescent="0.25">
      <c r="A22" t="s">
        <v>85</v>
      </c>
      <c r="B22" t="s">
        <v>86</v>
      </c>
      <c r="C22">
        <v>27</v>
      </c>
      <c r="D22" t="s">
        <v>12</v>
      </c>
      <c r="E22" t="s">
        <v>3</v>
      </c>
      <c r="F22" t="s">
        <v>23</v>
      </c>
      <c r="G22" s="3" t="str">
        <f ca="1">students[[#This Row],[entryexamscore]]</f>
        <v>85</v>
      </c>
      <c r="H22" t="s">
        <v>26</v>
      </c>
      <c r="I22" s="3">
        <v>158</v>
      </c>
      <c r="J22" s="3">
        <v>84</v>
      </c>
      <c r="K22" s="3">
        <v>90</v>
      </c>
      <c r="M22" s="5" t="s">
        <v>2</v>
      </c>
      <c r="N22">
        <v>43</v>
      </c>
      <c r="P22" s="5" t="s">
        <v>33</v>
      </c>
      <c r="Q22">
        <v>2</v>
      </c>
      <c r="S22" s="5" t="s">
        <v>23</v>
      </c>
      <c r="T22">
        <v>32</v>
      </c>
    </row>
    <row r="23" spans="1:20" x14ac:dyDescent="0.25">
      <c r="A23" t="s">
        <v>107</v>
      </c>
      <c r="B23" t="s">
        <v>108</v>
      </c>
      <c r="C23">
        <v>28</v>
      </c>
      <c r="D23" t="s">
        <v>12</v>
      </c>
      <c r="E23" t="s">
        <v>3</v>
      </c>
      <c r="F23" t="s">
        <v>23</v>
      </c>
      <c r="G23" s="3" t="str">
        <f ca="1">students[[#This Row],[entryexamscore]]</f>
        <v>69</v>
      </c>
      <c r="H23" t="s">
        <v>17</v>
      </c>
      <c r="I23" s="3">
        <v>120</v>
      </c>
      <c r="J23" s="3">
        <v>45</v>
      </c>
      <c r="K23" s="3">
        <v>70</v>
      </c>
      <c r="M23" s="5" t="s">
        <v>12</v>
      </c>
      <c r="N23">
        <v>34</v>
      </c>
      <c r="P23" s="5" t="s">
        <v>142</v>
      </c>
      <c r="Q23">
        <v>2</v>
      </c>
      <c r="S23" s="5" t="s">
        <v>4</v>
      </c>
      <c r="T23">
        <v>33</v>
      </c>
    </row>
    <row r="24" spans="1:20" x14ac:dyDescent="0.25">
      <c r="A24" t="s">
        <v>60</v>
      </c>
      <c r="B24" t="s">
        <v>61</v>
      </c>
      <c r="C24">
        <v>28</v>
      </c>
      <c r="D24" t="s">
        <v>2</v>
      </c>
      <c r="E24" t="s">
        <v>62</v>
      </c>
      <c r="F24" t="s">
        <v>23</v>
      </c>
      <c r="G24" s="3" t="str">
        <f ca="1">students[[#This Row],[entryexamscore]]</f>
        <v>78</v>
      </c>
      <c r="H24" t="s">
        <v>26</v>
      </c>
      <c r="I24" s="3">
        <v>156</v>
      </c>
      <c r="J24" s="3">
        <v>80</v>
      </c>
      <c r="K24" s="3">
        <v>55</v>
      </c>
      <c r="M24" s="5" t="s">
        <v>173</v>
      </c>
      <c r="N24">
        <v>77</v>
      </c>
      <c r="P24" s="5" t="s">
        <v>137</v>
      </c>
      <c r="Q24">
        <v>3</v>
      </c>
      <c r="S24" s="5" t="s">
        <v>14</v>
      </c>
      <c r="T24">
        <v>12</v>
      </c>
    </row>
    <row r="25" spans="1:20" x14ac:dyDescent="0.25">
      <c r="A25" t="s">
        <v>87</v>
      </c>
      <c r="B25" t="s">
        <v>88</v>
      </c>
      <c r="C25">
        <v>29</v>
      </c>
      <c r="D25" t="s">
        <v>12</v>
      </c>
      <c r="E25" t="s">
        <v>3</v>
      </c>
      <c r="F25" t="s">
        <v>23</v>
      </c>
      <c r="G25" s="3" t="str">
        <f ca="1">students[[#This Row],[entryexamscore]]</f>
        <v>75</v>
      </c>
      <c r="H25" t="s">
        <v>9</v>
      </c>
      <c r="I25" s="3">
        <v>156</v>
      </c>
      <c r="J25" s="3">
        <v>81</v>
      </c>
      <c r="K25" s="3">
        <v>74</v>
      </c>
      <c r="P25" s="5" t="s">
        <v>45</v>
      </c>
      <c r="Q25">
        <v>2</v>
      </c>
      <c r="S25" s="5" t="s">
        <v>173</v>
      </c>
      <c r="T25">
        <v>77</v>
      </c>
    </row>
    <row r="26" spans="1:20" x14ac:dyDescent="0.25">
      <c r="A26" t="s">
        <v>133</v>
      </c>
      <c r="B26" t="s">
        <v>134</v>
      </c>
      <c r="C26">
        <v>29</v>
      </c>
      <c r="D26" t="s">
        <v>12</v>
      </c>
      <c r="E26" t="s">
        <v>8</v>
      </c>
      <c r="F26" t="s">
        <v>14</v>
      </c>
      <c r="G26" s="3" t="str">
        <f ca="1">students[[#This Row],[entryexamscore]]</f>
        <v>83</v>
      </c>
      <c r="H26" t="s">
        <v>26</v>
      </c>
      <c r="I26" s="3">
        <v>156</v>
      </c>
      <c r="J26" s="3">
        <v>81</v>
      </c>
      <c r="K26" s="3">
        <v>67</v>
      </c>
      <c r="P26" s="5" t="s">
        <v>8</v>
      </c>
      <c r="Q26">
        <v>3</v>
      </c>
    </row>
    <row r="27" spans="1:20" x14ac:dyDescent="0.25">
      <c r="A27" t="s">
        <v>27</v>
      </c>
      <c r="B27" t="s">
        <v>28</v>
      </c>
      <c r="C27">
        <v>29</v>
      </c>
      <c r="D27" t="s">
        <v>12</v>
      </c>
      <c r="E27" t="s">
        <v>3</v>
      </c>
      <c r="F27" t="s">
        <v>23</v>
      </c>
      <c r="G27" s="3" t="str">
        <f ca="1">students[[#This Row],[entryexamscore]]</f>
        <v>89</v>
      </c>
      <c r="H27" t="s">
        <v>26</v>
      </c>
      <c r="I27" s="3">
        <v>160</v>
      </c>
      <c r="J27" s="3">
        <v>85</v>
      </c>
      <c r="K27" s="3">
        <v>60</v>
      </c>
      <c r="P27" s="5" t="s">
        <v>36</v>
      </c>
      <c r="Q27">
        <v>2</v>
      </c>
    </row>
    <row r="28" spans="1:20" x14ac:dyDescent="0.25">
      <c r="A28" t="s">
        <v>39</v>
      </c>
      <c r="B28" t="s">
        <v>63</v>
      </c>
      <c r="C28">
        <v>30</v>
      </c>
      <c r="D28" t="s">
        <v>12</v>
      </c>
      <c r="E28" t="s">
        <v>3</v>
      </c>
      <c r="F28" t="s">
        <v>23</v>
      </c>
      <c r="G28" s="3" t="str">
        <f ca="1">students[[#This Row],[entryexamscore]]</f>
        <v>82</v>
      </c>
      <c r="H28" t="s">
        <v>26</v>
      </c>
      <c r="I28" s="3">
        <v>156</v>
      </c>
      <c r="J28" s="3">
        <v>82</v>
      </c>
      <c r="K28" s="3">
        <v>65</v>
      </c>
      <c r="P28" s="5" t="s">
        <v>115</v>
      </c>
      <c r="Q28">
        <v>2</v>
      </c>
    </row>
    <row r="29" spans="1:20" x14ac:dyDescent="0.25">
      <c r="A29" t="s">
        <v>109</v>
      </c>
      <c r="B29" t="s">
        <v>110</v>
      </c>
      <c r="C29">
        <v>30</v>
      </c>
      <c r="D29" t="s">
        <v>12</v>
      </c>
      <c r="E29" t="s">
        <v>3</v>
      </c>
      <c r="F29" t="s">
        <v>23</v>
      </c>
      <c r="G29" s="3" t="str">
        <f ca="1">students[[#This Row],[entryexamscore]]</f>
        <v>95</v>
      </c>
      <c r="H29" t="s">
        <v>9</v>
      </c>
      <c r="I29" s="3">
        <v>160</v>
      </c>
      <c r="J29" s="3">
        <v>90</v>
      </c>
      <c r="K29" s="3">
        <v>89</v>
      </c>
      <c r="P29" s="5" t="s">
        <v>3</v>
      </c>
      <c r="Q29">
        <v>49</v>
      </c>
    </row>
    <row r="30" spans="1:20" x14ac:dyDescent="0.25">
      <c r="A30" t="s">
        <v>156</v>
      </c>
      <c r="B30" t="s">
        <v>157</v>
      </c>
      <c r="C30">
        <v>31</v>
      </c>
      <c r="D30" t="s">
        <v>12</v>
      </c>
      <c r="E30" t="s">
        <v>158</v>
      </c>
      <c r="F30" t="s">
        <v>14</v>
      </c>
      <c r="G30" s="3" t="str">
        <f ca="1">students[[#This Row],[entryexamscore]]</f>
        <v>35</v>
      </c>
      <c r="H30" t="s">
        <v>5</v>
      </c>
      <c r="I30" s="3">
        <v>144</v>
      </c>
      <c r="J30" s="3">
        <v>72</v>
      </c>
      <c r="K30" s="3">
        <v>90</v>
      </c>
      <c r="P30" s="5" t="s">
        <v>158</v>
      </c>
      <c r="Q30">
        <v>2</v>
      </c>
    </row>
    <row r="31" spans="1:20" x14ac:dyDescent="0.25">
      <c r="A31" t="s">
        <v>29</v>
      </c>
      <c r="B31" t="s">
        <v>30</v>
      </c>
      <c r="C31">
        <v>31</v>
      </c>
      <c r="D31" t="s">
        <v>12</v>
      </c>
      <c r="E31" t="s">
        <v>3</v>
      </c>
      <c r="F31" t="s">
        <v>23</v>
      </c>
      <c r="G31" s="3" t="str">
        <f ca="1">students[[#This Row],[entryexamscore]]</f>
        <v>88</v>
      </c>
      <c r="H31" t="s">
        <v>26</v>
      </c>
      <c r="I31" s="3">
        <v>156</v>
      </c>
      <c r="J31" s="3">
        <v>80</v>
      </c>
      <c r="K31" s="3">
        <v>89</v>
      </c>
      <c r="P31" s="5" t="s">
        <v>20</v>
      </c>
      <c r="Q31">
        <v>2</v>
      </c>
    </row>
    <row r="32" spans="1:20" x14ac:dyDescent="0.25">
      <c r="A32" t="s">
        <v>89</v>
      </c>
      <c r="B32" t="s">
        <v>22</v>
      </c>
      <c r="C32">
        <v>31</v>
      </c>
      <c r="D32" t="s">
        <v>12</v>
      </c>
      <c r="E32" t="s">
        <v>3</v>
      </c>
      <c r="F32" t="s">
        <v>23</v>
      </c>
      <c r="G32" s="3" t="str">
        <f ca="1">students[[#This Row],[entryexamscore]]</f>
        <v>95</v>
      </c>
      <c r="H32" t="s">
        <v>26</v>
      </c>
      <c r="I32" s="3">
        <v>158</v>
      </c>
      <c r="J32" s="3">
        <v>87</v>
      </c>
      <c r="K32" s="3">
        <v>99</v>
      </c>
      <c r="P32" s="5" t="s">
        <v>62</v>
      </c>
      <c r="Q32">
        <v>2</v>
      </c>
    </row>
    <row r="33" spans="1:20" x14ac:dyDescent="0.25">
      <c r="A33" t="s">
        <v>150</v>
      </c>
      <c r="B33" t="s">
        <v>151</v>
      </c>
      <c r="C33">
        <v>31</v>
      </c>
      <c r="D33" t="s">
        <v>12</v>
      </c>
      <c r="E33" t="s">
        <v>33</v>
      </c>
      <c r="F33" t="s">
        <v>14</v>
      </c>
      <c r="G33" s="3" t="str">
        <f ca="1">students[[#This Row],[entryexamscore]]</f>
        <v>90</v>
      </c>
      <c r="H33" t="s">
        <v>5</v>
      </c>
      <c r="I33" s="3">
        <v>158</v>
      </c>
      <c r="J33" s="3">
        <v>84</v>
      </c>
      <c r="K33" s="3">
        <v>83</v>
      </c>
      <c r="P33" s="5" t="s">
        <v>13</v>
      </c>
      <c r="Q33">
        <v>4</v>
      </c>
    </row>
    <row r="34" spans="1:20" x14ac:dyDescent="0.25">
      <c r="A34" t="s">
        <v>135</v>
      </c>
      <c r="B34" t="s">
        <v>136</v>
      </c>
      <c r="C34">
        <v>31</v>
      </c>
      <c r="D34" t="s">
        <v>2</v>
      </c>
      <c r="E34" t="s">
        <v>137</v>
      </c>
      <c r="F34" t="s">
        <v>14</v>
      </c>
      <c r="G34" s="3" t="str">
        <f ca="1">students[[#This Row],[entryexamscore]]</f>
        <v>89</v>
      </c>
      <c r="H34" t="s">
        <v>5</v>
      </c>
      <c r="I34" s="3">
        <v>160</v>
      </c>
      <c r="J34" s="3">
        <v>87</v>
      </c>
      <c r="K34" s="3">
        <v>61</v>
      </c>
      <c r="P34" s="5" t="s">
        <v>160</v>
      </c>
      <c r="Q34">
        <v>2</v>
      </c>
    </row>
    <row r="35" spans="1:20" x14ac:dyDescent="0.25">
      <c r="A35" t="s">
        <v>111</v>
      </c>
      <c r="B35" t="s">
        <v>112</v>
      </c>
      <c r="C35">
        <v>32</v>
      </c>
      <c r="D35" t="s">
        <v>2</v>
      </c>
      <c r="E35" t="s">
        <v>158</v>
      </c>
      <c r="F35" t="s">
        <v>23</v>
      </c>
      <c r="G35" s="3" t="str">
        <f ca="1">students[[#This Row],[entryexamscore]]</f>
        <v>82</v>
      </c>
      <c r="H35" t="s">
        <v>26</v>
      </c>
      <c r="I35" s="3">
        <v>156</v>
      </c>
      <c r="J35" s="3">
        <v>84</v>
      </c>
      <c r="K35" s="3">
        <v>59</v>
      </c>
      <c r="M35" s="6" t="s">
        <v>188</v>
      </c>
      <c r="N35" s="6" t="s">
        <v>189</v>
      </c>
      <c r="P35" s="5" t="s">
        <v>173</v>
      </c>
      <c r="Q35">
        <v>77</v>
      </c>
    </row>
    <row r="36" spans="1:20" x14ac:dyDescent="0.25">
      <c r="A36" t="s">
        <v>64</v>
      </c>
      <c r="B36" t="s">
        <v>65</v>
      </c>
      <c r="C36">
        <v>32</v>
      </c>
      <c r="D36" t="s">
        <v>12</v>
      </c>
      <c r="E36" t="s">
        <v>3</v>
      </c>
      <c r="F36" t="s">
        <v>23</v>
      </c>
      <c r="G36" s="3" t="str">
        <f ca="1">students[[#This Row],[entryexamscore]]</f>
        <v>81</v>
      </c>
      <c r="H36" t="s">
        <v>26</v>
      </c>
      <c r="I36" s="3">
        <v>158</v>
      </c>
      <c r="J36" s="3">
        <v>85</v>
      </c>
      <c r="K36" s="3">
        <v>83</v>
      </c>
    </row>
    <row r="37" spans="1:20" x14ac:dyDescent="0.25">
      <c r="A37" t="s">
        <v>90</v>
      </c>
      <c r="B37" t="s">
        <v>91</v>
      </c>
      <c r="C37">
        <v>33</v>
      </c>
      <c r="D37" t="s">
        <v>2</v>
      </c>
      <c r="E37" t="s">
        <v>3</v>
      </c>
      <c r="F37" t="s">
        <v>23</v>
      </c>
      <c r="G37" s="3" t="str">
        <f ca="1">students[[#This Row],[entryexamscore]]</f>
        <v>50</v>
      </c>
      <c r="H37" t="s">
        <v>9</v>
      </c>
      <c r="I37" s="3">
        <v>144</v>
      </c>
      <c r="J37" s="3">
        <v>69</v>
      </c>
      <c r="K37" s="3">
        <v>33</v>
      </c>
      <c r="M37" t="s">
        <v>176</v>
      </c>
      <c r="N37">
        <v>35.20779220779221</v>
      </c>
      <c r="S37" s="4" t="s">
        <v>172</v>
      </c>
      <c r="T37" t="s">
        <v>175</v>
      </c>
    </row>
    <row r="38" spans="1:20" x14ac:dyDescent="0.25">
      <c r="A38" t="s">
        <v>152</v>
      </c>
      <c r="B38" t="s">
        <v>153</v>
      </c>
      <c r="C38">
        <v>33</v>
      </c>
      <c r="D38" t="s">
        <v>2</v>
      </c>
      <c r="E38" t="s">
        <v>160</v>
      </c>
      <c r="F38" t="s">
        <v>14</v>
      </c>
      <c r="G38" s="3" t="str">
        <f ca="1">students[[#This Row],[entryexamscore]]</f>
        <v>96</v>
      </c>
      <c r="H38" t="s">
        <v>5</v>
      </c>
      <c r="I38" s="3">
        <v>158</v>
      </c>
      <c r="J38" s="3">
        <v>85</v>
      </c>
      <c r="K38" s="3">
        <v>90</v>
      </c>
      <c r="M38" t="s">
        <v>177</v>
      </c>
      <c r="N38">
        <v>1.1785763714215955</v>
      </c>
      <c r="S38" s="5" t="s">
        <v>26</v>
      </c>
      <c r="T38">
        <v>25</v>
      </c>
    </row>
    <row r="39" spans="1:20" x14ac:dyDescent="0.25">
      <c r="A39" t="s">
        <v>31</v>
      </c>
      <c r="B39" t="s">
        <v>32</v>
      </c>
      <c r="C39">
        <v>33</v>
      </c>
      <c r="D39" t="s">
        <v>2</v>
      </c>
      <c r="E39" t="s">
        <v>33</v>
      </c>
      <c r="F39" t="s">
        <v>23</v>
      </c>
      <c r="G39" s="3" t="str">
        <f ca="1">students[[#This Row],[entryexamscore]]</f>
        <v>85</v>
      </c>
      <c r="H39" t="s">
        <v>26</v>
      </c>
      <c r="I39" s="3">
        <v>160</v>
      </c>
      <c r="J39" s="3">
        <v>83</v>
      </c>
      <c r="K39" s="3">
        <v>90</v>
      </c>
      <c r="M39" t="s">
        <v>178</v>
      </c>
      <c r="N39">
        <v>33</v>
      </c>
      <c r="S39" s="5" t="s">
        <v>9</v>
      </c>
      <c r="T39">
        <v>12</v>
      </c>
    </row>
    <row r="40" spans="1:20" x14ac:dyDescent="0.25">
      <c r="A40" t="s">
        <v>138</v>
      </c>
      <c r="B40" t="s">
        <v>139</v>
      </c>
      <c r="C40">
        <v>33</v>
      </c>
      <c r="D40" t="s">
        <v>12</v>
      </c>
      <c r="E40" t="s">
        <v>137</v>
      </c>
      <c r="F40" t="s">
        <v>14</v>
      </c>
      <c r="G40" s="3" t="str">
        <f ca="1">students[[#This Row],[entryexamscore]]</f>
        <v>98</v>
      </c>
      <c r="H40" t="s">
        <v>5</v>
      </c>
      <c r="I40" s="3">
        <v>160</v>
      </c>
      <c r="J40" s="3">
        <v>87</v>
      </c>
      <c r="K40" s="3">
        <v>86</v>
      </c>
      <c r="M40" t="s">
        <v>179</v>
      </c>
      <c r="N40">
        <v>25</v>
      </c>
      <c r="S40" s="5" t="s">
        <v>80</v>
      </c>
      <c r="T40">
        <v>5</v>
      </c>
    </row>
    <row r="41" spans="1:20" x14ac:dyDescent="0.25">
      <c r="A41" t="s">
        <v>34</v>
      </c>
      <c r="B41" t="s">
        <v>35</v>
      </c>
      <c r="C41">
        <v>34</v>
      </c>
      <c r="D41" t="s">
        <v>2</v>
      </c>
      <c r="E41" t="s">
        <v>36</v>
      </c>
      <c r="F41" t="s">
        <v>23</v>
      </c>
      <c r="G41" s="3" t="str">
        <f ca="1">students[[#This Row],[entryexamscore]]</f>
        <v>65</v>
      </c>
      <c r="H41" t="s">
        <v>26</v>
      </c>
      <c r="I41" s="3">
        <v>156</v>
      </c>
      <c r="J41" s="3">
        <v>79</v>
      </c>
      <c r="K41" s="3">
        <v>58</v>
      </c>
      <c r="M41" t="s">
        <v>180</v>
      </c>
      <c r="N41">
        <v>10.341965687046333</v>
      </c>
      <c r="S41" s="5" t="s">
        <v>17</v>
      </c>
      <c r="T41">
        <v>19</v>
      </c>
    </row>
    <row r="42" spans="1:20" x14ac:dyDescent="0.25">
      <c r="A42" t="s">
        <v>92</v>
      </c>
      <c r="B42" t="s">
        <v>93</v>
      </c>
      <c r="C42">
        <v>35</v>
      </c>
      <c r="D42" t="s">
        <v>12</v>
      </c>
      <c r="E42" t="s">
        <v>3</v>
      </c>
      <c r="F42" t="s">
        <v>23</v>
      </c>
      <c r="G42" s="3" t="str">
        <f ca="1">students[[#This Row],[entryexamscore]]</f>
        <v>68</v>
      </c>
      <c r="H42" t="s">
        <v>9</v>
      </c>
      <c r="I42" s="3">
        <v>136</v>
      </c>
      <c r="J42" s="3">
        <v>60</v>
      </c>
      <c r="K42" s="3">
        <v>78</v>
      </c>
      <c r="M42" t="s">
        <v>181</v>
      </c>
      <c r="N42">
        <v>106.95625427204371</v>
      </c>
      <c r="S42" s="5" t="s">
        <v>5</v>
      </c>
      <c r="T42">
        <v>16</v>
      </c>
    </row>
    <row r="43" spans="1:20" x14ac:dyDescent="0.25">
      <c r="A43" t="s">
        <v>140</v>
      </c>
      <c r="B43" t="s">
        <v>141</v>
      </c>
      <c r="C43">
        <v>35</v>
      </c>
      <c r="D43" t="s">
        <v>2</v>
      </c>
      <c r="E43" t="s">
        <v>142</v>
      </c>
      <c r="F43" t="s">
        <v>14</v>
      </c>
      <c r="G43" s="3" t="str">
        <f ca="1">students[[#This Row],[entryexamscore]]</f>
        <v>69</v>
      </c>
      <c r="H43" t="s">
        <v>26</v>
      </c>
      <c r="I43" s="3">
        <v>144</v>
      </c>
      <c r="J43" s="3">
        <v>69</v>
      </c>
      <c r="K43" s="3">
        <v>45</v>
      </c>
      <c r="M43" t="s">
        <v>182</v>
      </c>
      <c r="N43">
        <v>1.8214205296566979</v>
      </c>
      <c r="S43" s="5" t="s">
        <v>173</v>
      </c>
      <c r="T43">
        <v>77</v>
      </c>
    </row>
    <row r="44" spans="1:20" x14ac:dyDescent="0.25">
      <c r="A44" t="s">
        <v>66</v>
      </c>
      <c r="B44" t="s">
        <v>67</v>
      </c>
      <c r="C44">
        <v>35</v>
      </c>
      <c r="D44" t="s">
        <v>2</v>
      </c>
      <c r="E44" t="s">
        <v>3</v>
      </c>
      <c r="F44" t="s">
        <v>23</v>
      </c>
      <c r="G44" s="3" t="str">
        <f ca="1">students[[#This Row],[entryexamscore]]</f>
        <v>92</v>
      </c>
      <c r="H44" t="s">
        <v>5</v>
      </c>
      <c r="I44" s="3">
        <v>160</v>
      </c>
      <c r="J44" s="3">
        <v>87</v>
      </c>
      <c r="K44" s="3">
        <v>88</v>
      </c>
      <c r="M44" t="s">
        <v>183</v>
      </c>
      <c r="N44">
        <v>1.1159111664538715</v>
      </c>
    </row>
    <row r="45" spans="1:20" x14ac:dyDescent="0.25">
      <c r="A45" t="s">
        <v>154</v>
      </c>
      <c r="B45" t="s">
        <v>155</v>
      </c>
      <c r="C45">
        <v>35</v>
      </c>
      <c r="D45" t="s">
        <v>12</v>
      </c>
      <c r="E45" t="s">
        <v>137</v>
      </c>
      <c r="F45" t="s">
        <v>14</v>
      </c>
      <c r="G45" s="3" t="str">
        <f ca="1">students[[#This Row],[entryexamscore]]</f>
        <v>90</v>
      </c>
      <c r="H45" t="s">
        <v>5</v>
      </c>
      <c r="I45" s="3">
        <v>160</v>
      </c>
      <c r="J45" s="3">
        <v>87</v>
      </c>
      <c r="K45" s="3">
        <v>74</v>
      </c>
      <c r="M45" t="s">
        <v>184</v>
      </c>
      <c r="N45">
        <v>50</v>
      </c>
    </row>
    <row r="46" spans="1:20" x14ac:dyDescent="0.25">
      <c r="A46" t="s">
        <v>113</v>
      </c>
      <c r="B46" t="s">
        <v>114</v>
      </c>
      <c r="C46">
        <v>36</v>
      </c>
      <c r="D46" t="s">
        <v>12</v>
      </c>
      <c r="E46" t="s">
        <v>115</v>
      </c>
      <c r="F46" t="s">
        <v>4</v>
      </c>
      <c r="G46" s="3" t="str">
        <f ca="1">students[[#This Row],[entryexamscore]]</f>
        <v>28</v>
      </c>
      <c r="H46" t="s">
        <v>9</v>
      </c>
      <c r="I46" s="3">
        <v>120</v>
      </c>
      <c r="J46" s="3">
        <v>15</v>
      </c>
      <c r="K46" s="3">
        <v>67</v>
      </c>
      <c r="M46" t="s">
        <v>185</v>
      </c>
      <c r="N46">
        <v>21</v>
      </c>
    </row>
    <row r="47" spans="1:20" x14ac:dyDescent="0.25">
      <c r="A47" t="s">
        <v>37</v>
      </c>
      <c r="B47" t="s">
        <v>38</v>
      </c>
      <c r="C47">
        <v>36</v>
      </c>
      <c r="D47" t="s">
        <v>2</v>
      </c>
      <c r="E47" t="s">
        <v>3</v>
      </c>
      <c r="F47" t="s">
        <v>4</v>
      </c>
      <c r="G47" s="3" t="str">
        <f ca="1">students[[#This Row],[entryexamscore]]</f>
        <v>70</v>
      </c>
      <c r="H47" t="s">
        <v>9</v>
      </c>
      <c r="I47" s="3">
        <v>156</v>
      </c>
      <c r="J47" s="3">
        <v>80</v>
      </c>
      <c r="K47" s="3">
        <v>55</v>
      </c>
      <c r="M47" t="s">
        <v>186</v>
      </c>
      <c r="N47">
        <v>71</v>
      </c>
    </row>
    <row r="48" spans="1:20" x14ac:dyDescent="0.25">
      <c r="A48" t="s">
        <v>68</v>
      </c>
      <c r="B48" t="s">
        <v>69</v>
      </c>
      <c r="C48">
        <v>37</v>
      </c>
      <c r="D48" t="s">
        <v>2</v>
      </c>
      <c r="E48" t="s">
        <v>13</v>
      </c>
      <c r="F48" t="s">
        <v>4</v>
      </c>
      <c r="G48" s="3" t="str">
        <f ca="1">students[[#This Row],[entryexamscore]]</f>
        <v>55</v>
      </c>
      <c r="H48" t="s">
        <v>9</v>
      </c>
      <c r="I48" s="3">
        <v>142</v>
      </c>
      <c r="J48" s="3">
        <v>66</v>
      </c>
      <c r="K48" s="3">
        <v>58</v>
      </c>
      <c r="M48" t="s">
        <v>187</v>
      </c>
      <c r="N48">
        <v>2711</v>
      </c>
    </row>
    <row r="49" spans="1:14" x14ac:dyDescent="0.25">
      <c r="A49" t="s">
        <v>94</v>
      </c>
      <c r="B49" t="s">
        <v>95</v>
      </c>
      <c r="C49">
        <v>37</v>
      </c>
      <c r="D49" t="s">
        <v>2</v>
      </c>
      <c r="E49" t="s">
        <v>3</v>
      </c>
      <c r="F49" t="s">
        <v>4</v>
      </c>
      <c r="G49" s="3" t="str">
        <f ca="1">students[[#This Row],[entryexamscore]]</f>
        <v>45</v>
      </c>
      <c r="H49" t="s">
        <v>26</v>
      </c>
      <c r="I49" s="3">
        <v>142</v>
      </c>
      <c r="J49" s="3">
        <v>57</v>
      </c>
      <c r="K49" s="3">
        <v>50</v>
      </c>
      <c r="M49" t="s">
        <v>174</v>
      </c>
      <c r="N49">
        <v>77</v>
      </c>
    </row>
    <row r="50" spans="1:14" x14ac:dyDescent="0.25">
      <c r="A50" t="s">
        <v>143</v>
      </c>
      <c r="B50" t="s">
        <v>144</v>
      </c>
      <c r="C50">
        <v>37</v>
      </c>
      <c r="D50" t="s">
        <v>12</v>
      </c>
      <c r="E50" t="s">
        <v>62</v>
      </c>
      <c r="F50" t="s">
        <v>4</v>
      </c>
      <c r="G50" s="3" t="str">
        <f ca="1">students[[#This Row],[entryexamscore]]</f>
        <v>80</v>
      </c>
      <c r="H50" t="s">
        <v>26</v>
      </c>
      <c r="I50" s="3">
        <v>152</v>
      </c>
      <c r="J50" s="3">
        <v>78</v>
      </c>
      <c r="K50" s="3">
        <v>62</v>
      </c>
    </row>
    <row r="51" spans="1:14" x14ac:dyDescent="0.25">
      <c r="A51" t="s">
        <v>39</v>
      </c>
      <c r="B51" t="s">
        <v>40</v>
      </c>
      <c r="C51">
        <v>38</v>
      </c>
      <c r="D51" t="s">
        <v>12</v>
      </c>
      <c r="E51" t="s">
        <v>3</v>
      </c>
      <c r="F51" t="s">
        <v>4</v>
      </c>
      <c r="G51" s="3" t="str">
        <f ca="1">students[[#This Row],[entryexamscore]]</f>
        <v>91</v>
      </c>
      <c r="H51" t="s">
        <v>9</v>
      </c>
      <c r="I51" s="3">
        <v>156</v>
      </c>
      <c r="J51" s="3">
        <v>85</v>
      </c>
      <c r="K51" s="3">
        <v>99</v>
      </c>
    </row>
    <row r="52" spans="1:14" x14ac:dyDescent="0.25">
      <c r="A52" t="s">
        <v>116</v>
      </c>
      <c r="B52" t="s">
        <v>117</v>
      </c>
      <c r="C52">
        <v>38</v>
      </c>
      <c r="D52" t="s">
        <v>2</v>
      </c>
      <c r="E52" t="s">
        <v>3</v>
      </c>
      <c r="F52" t="s">
        <v>4</v>
      </c>
      <c r="G52" s="3" t="str">
        <f ca="1">students[[#This Row],[entryexamscore]]</f>
        <v>80</v>
      </c>
      <c r="H52" t="s">
        <v>5</v>
      </c>
      <c r="I52" s="3">
        <v>158</v>
      </c>
      <c r="J52" s="3">
        <v>84</v>
      </c>
      <c r="K52" s="3">
        <v>50</v>
      </c>
    </row>
    <row r="53" spans="1:14" x14ac:dyDescent="0.25">
      <c r="A53" t="s">
        <v>70</v>
      </c>
      <c r="B53" t="s">
        <v>71</v>
      </c>
      <c r="C53">
        <v>39</v>
      </c>
      <c r="D53" t="s">
        <v>12</v>
      </c>
      <c r="E53" t="s">
        <v>13</v>
      </c>
      <c r="F53" t="s">
        <v>4</v>
      </c>
      <c r="G53" s="3" t="str">
        <f ca="1">students[[#This Row],[entryexamscore]]</f>
        <v>80</v>
      </c>
      <c r="H53" t="s">
        <v>26</v>
      </c>
      <c r="I53" s="3">
        <v>156</v>
      </c>
      <c r="J53" s="3">
        <v>81</v>
      </c>
      <c r="K53" s="3">
        <v>69</v>
      </c>
    </row>
    <row r="54" spans="1:14" x14ac:dyDescent="0.25">
      <c r="A54" t="s">
        <v>96</v>
      </c>
      <c r="B54" t="s">
        <v>97</v>
      </c>
      <c r="C54">
        <v>39</v>
      </c>
      <c r="D54" t="s">
        <v>2</v>
      </c>
      <c r="E54" t="s">
        <v>160</v>
      </c>
      <c r="F54" t="s">
        <v>4</v>
      </c>
      <c r="G54" s="3" t="str">
        <f ca="1">students[[#This Row],[entryexamscore]]</f>
        <v>90</v>
      </c>
      <c r="H54" t="s">
        <v>5</v>
      </c>
      <c r="I54" s="3">
        <v>158</v>
      </c>
      <c r="J54" s="3">
        <v>85</v>
      </c>
      <c r="K54" s="3">
        <v>74</v>
      </c>
    </row>
    <row r="55" spans="1:14" x14ac:dyDescent="0.25">
      <c r="A55" t="s">
        <v>34</v>
      </c>
      <c r="B55" t="s">
        <v>145</v>
      </c>
      <c r="C55">
        <v>39</v>
      </c>
      <c r="D55" t="s">
        <v>2</v>
      </c>
      <c r="E55" t="s">
        <v>36</v>
      </c>
      <c r="F55" t="s">
        <v>4</v>
      </c>
      <c r="G55" s="3" t="str">
        <f ca="1">students[[#This Row],[entryexamscore]]</f>
        <v>81</v>
      </c>
      <c r="H55" t="s">
        <v>5</v>
      </c>
      <c r="I55" s="3">
        <v>160</v>
      </c>
      <c r="J55" s="3">
        <v>80</v>
      </c>
      <c r="K55" s="3">
        <v>71</v>
      </c>
    </row>
    <row r="56" spans="1:14" x14ac:dyDescent="0.25">
      <c r="A56" t="s">
        <v>41</v>
      </c>
      <c r="B56" t="s">
        <v>42</v>
      </c>
      <c r="C56">
        <v>40</v>
      </c>
      <c r="D56" t="s">
        <v>2</v>
      </c>
      <c r="E56" t="s">
        <v>3</v>
      </c>
      <c r="F56" t="s">
        <v>4</v>
      </c>
      <c r="G56" s="3" t="str">
        <f ca="1">students[[#This Row],[entryexamscore]]</f>
        <v>77</v>
      </c>
      <c r="H56" t="s">
        <v>9</v>
      </c>
      <c r="I56" s="3">
        <v>144</v>
      </c>
      <c r="J56" s="3">
        <v>70</v>
      </c>
      <c r="K56" s="3">
        <v>76</v>
      </c>
    </row>
    <row r="57" spans="1:14" x14ac:dyDescent="0.25">
      <c r="A57" t="s">
        <v>72</v>
      </c>
      <c r="B57" t="s">
        <v>73</v>
      </c>
      <c r="C57">
        <v>41</v>
      </c>
      <c r="D57" t="s">
        <v>2</v>
      </c>
      <c r="E57" t="s">
        <v>13</v>
      </c>
      <c r="F57" t="s">
        <v>4</v>
      </c>
      <c r="G57" s="3" t="str">
        <f ca="1">students[[#This Row],[entryexamscore]]</f>
        <v>86</v>
      </c>
      <c r="H57" t="s">
        <v>26</v>
      </c>
      <c r="I57" s="3">
        <v>154</v>
      </c>
      <c r="J57" s="3">
        <v>81</v>
      </c>
      <c r="K57" s="3">
        <v>91</v>
      </c>
    </row>
    <row r="58" spans="1:14" x14ac:dyDescent="0.25">
      <c r="A58" t="s">
        <v>98</v>
      </c>
      <c r="B58" t="s">
        <v>99</v>
      </c>
      <c r="C58">
        <v>41</v>
      </c>
      <c r="D58" t="s">
        <v>2</v>
      </c>
      <c r="E58" t="s">
        <v>3</v>
      </c>
      <c r="F58" t="s">
        <v>4</v>
      </c>
      <c r="G58" s="3" t="str">
        <f ca="1">students[[#This Row],[entryexamscore]]</f>
        <v>90</v>
      </c>
      <c r="H58" t="s">
        <v>5</v>
      </c>
      <c r="I58" s="3">
        <v>156</v>
      </c>
      <c r="J58" s="3">
        <v>80</v>
      </c>
      <c r="K58" s="3">
        <v>83</v>
      </c>
    </row>
    <row r="59" spans="1:14" x14ac:dyDescent="0.25">
      <c r="A59" t="s">
        <v>43</v>
      </c>
      <c r="B59" t="s">
        <v>44</v>
      </c>
      <c r="C59">
        <v>42</v>
      </c>
      <c r="D59" t="s">
        <v>12</v>
      </c>
      <c r="E59" t="s">
        <v>45</v>
      </c>
      <c r="F59" t="s">
        <v>4</v>
      </c>
      <c r="G59" s="3" t="str">
        <f ca="1">students[[#This Row],[entryexamscore]]</f>
        <v>80</v>
      </c>
      <c r="H59" t="s">
        <v>26</v>
      </c>
      <c r="I59" s="3">
        <v>152</v>
      </c>
      <c r="J59" s="3">
        <v>75</v>
      </c>
      <c r="K59" s="3">
        <v>77</v>
      </c>
    </row>
    <row r="60" spans="1:14" x14ac:dyDescent="0.25">
      <c r="A60" t="s">
        <v>119</v>
      </c>
      <c r="B60" t="s">
        <v>120</v>
      </c>
      <c r="C60">
        <v>42</v>
      </c>
      <c r="D60" t="s">
        <v>12</v>
      </c>
      <c r="E60" t="s">
        <v>3</v>
      </c>
      <c r="F60" t="s">
        <v>4</v>
      </c>
      <c r="G60" s="3" t="str">
        <f ca="1">students[[#This Row],[entryexamscore]]</f>
        <v>91</v>
      </c>
      <c r="H60" t="s">
        <v>80</v>
      </c>
      <c r="I60" s="3">
        <v>158</v>
      </c>
      <c r="J60" s="3">
        <v>84</v>
      </c>
      <c r="K60" s="3">
        <v>82</v>
      </c>
    </row>
    <row r="61" spans="1:14" x14ac:dyDescent="0.25">
      <c r="A61" t="s">
        <v>148</v>
      </c>
      <c r="B61" t="s">
        <v>149</v>
      </c>
      <c r="C61">
        <v>43</v>
      </c>
      <c r="D61" t="s">
        <v>2</v>
      </c>
      <c r="E61" t="s">
        <v>142</v>
      </c>
      <c r="F61" t="s">
        <v>4</v>
      </c>
      <c r="G61" s="3" t="str">
        <f ca="1">students[[#This Row],[entryexamscore]]</f>
        <v>80</v>
      </c>
      <c r="H61" t="s">
        <v>26</v>
      </c>
      <c r="I61" s="3">
        <v>150</v>
      </c>
      <c r="J61" s="3">
        <v>75</v>
      </c>
      <c r="K61" s="3">
        <v>43</v>
      </c>
    </row>
    <row r="62" spans="1:14" x14ac:dyDescent="0.25">
      <c r="A62" t="s">
        <v>46</v>
      </c>
      <c r="B62" t="s">
        <v>47</v>
      </c>
      <c r="C62">
        <v>43</v>
      </c>
      <c r="D62" t="s">
        <v>2</v>
      </c>
      <c r="E62" t="s">
        <v>3</v>
      </c>
      <c r="F62" t="s">
        <v>4</v>
      </c>
      <c r="G62" s="3" t="str">
        <f ca="1">students[[#This Row],[entryexamscore]]</f>
        <v>81</v>
      </c>
      <c r="H62" t="s">
        <v>26</v>
      </c>
      <c r="I62" s="3">
        <v>156</v>
      </c>
      <c r="J62" s="3">
        <v>80</v>
      </c>
      <c r="K62" s="3">
        <v>82</v>
      </c>
    </row>
    <row r="63" spans="1:14" x14ac:dyDescent="0.25">
      <c r="A63" t="s">
        <v>41</v>
      </c>
      <c r="B63" t="s">
        <v>65</v>
      </c>
      <c r="C63">
        <v>43</v>
      </c>
      <c r="D63" t="s">
        <v>2</v>
      </c>
      <c r="E63" t="s">
        <v>3</v>
      </c>
      <c r="F63" t="s">
        <v>4</v>
      </c>
      <c r="G63" s="3" t="str">
        <f ca="1">students[[#This Row],[entryexamscore]]</f>
        <v>96</v>
      </c>
      <c r="H63" t="s">
        <v>5</v>
      </c>
      <c r="I63" s="3">
        <v>158</v>
      </c>
      <c r="J63" s="3">
        <v>87</v>
      </c>
      <c r="K63" s="3">
        <v>92</v>
      </c>
    </row>
    <row r="64" spans="1:14" x14ac:dyDescent="0.25">
      <c r="A64" t="s">
        <v>74</v>
      </c>
      <c r="B64" t="s">
        <v>75</v>
      </c>
      <c r="C64">
        <v>44</v>
      </c>
      <c r="D64" t="s">
        <v>12</v>
      </c>
      <c r="E64" t="s">
        <v>3</v>
      </c>
      <c r="F64" t="s">
        <v>4</v>
      </c>
      <c r="G64" s="3" t="str">
        <f ca="1">students[[#This Row],[entryexamscore]]</f>
        <v>78</v>
      </c>
      <c r="H64" t="s">
        <v>9</v>
      </c>
      <c r="I64" s="3">
        <v>152</v>
      </c>
      <c r="J64" s="3">
        <v>80</v>
      </c>
      <c r="K64" s="3">
        <v>79</v>
      </c>
    </row>
    <row r="65" spans="1:11" x14ac:dyDescent="0.25">
      <c r="A65" t="s">
        <v>0</v>
      </c>
      <c r="B65" t="s">
        <v>1</v>
      </c>
      <c r="C65">
        <v>44</v>
      </c>
      <c r="D65" t="s">
        <v>2</v>
      </c>
      <c r="E65" t="s">
        <v>3</v>
      </c>
      <c r="F65" t="s">
        <v>4</v>
      </c>
      <c r="G65" s="3" t="str">
        <f ca="1">students[[#This Row],[entryexamscore]]</f>
        <v>72</v>
      </c>
      <c r="H65" t="s">
        <v>5</v>
      </c>
      <c r="I65" s="3">
        <v>158</v>
      </c>
      <c r="J65" s="3">
        <v>59</v>
      </c>
      <c r="K65" s="3">
        <v>55</v>
      </c>
    </row>
    <row r="66" spans="1:11" x14ac:dyDescent="0.25">
      <c r="A66" t="s">
        <v>48</v>
      </c>
      <c r="B66" t="s">
        <v>49</v>
      </c>
      <c r="C66">
        <v>45</v>
      </c>
      <c r="D66" t="s">
        <v>2</v>
      </c>
      <c r="E66" t="s">
        <v>3</v>
      </c>
      <c r="F66" t="s">
        <v>4</v>
      </c>
      <c r="G66" s="3" t="str">
        <f ca="1">students[[#This Row],[entryexamscore]]</f>
        <v>85</v>
      </c>
      <c r="H66" t="s">
        <v>26</v>
      </c>
      <c r="I66" s="3">
        <v>156</v>
      </c>
      <c r="J66" s="3">
        <v>87</v>
      </c>
      <c r="K66" s="3">
        <v>82</v>
      </c>
    </row>
    <row r="67" spans="1:11" x14ac:dyDescent="0.25">
      <c r="A67" t="s">
        <v>100</v>
      </c>
      <c r="B67" t="s">
        <v>101</v>
      </c>
      <c r="C67">
        <v>45</v>
      </c>
      <c r="D67" t="s">
        <v>2</v>
      </c>
      <c r="E67" t="s">
        <v>3</v>
      </c>
      <c r="F67" t="s">
        <v>4</v>
      </c>
      <c r="G67" s="3" t="str">
        <f ca="1">students[[#This Row],[entryexamscore]]</f>
        <v>95</v>
      </c>
      <c r="H67" t="s">
        <v>5</v>
      </c>
      <c r="I67" s="3">
        <v>160</v>
      </c>
      <c r="J67" s="3">
        <v>88</v>
      </c>
      <c r="K67" s="3">
        <v>86</v>
      </c>
    </row>
    <row r="68" spans="1:11" x14ac:dyDescent="0.25">
      <c r="A68" t="s">
        <v>76</v>
      </c>
      <c r="B68" t="s">
        <v>77</v>
      </c>
      <c r="C68">
        <v>46</v>
      </c>
      <c r="D68" t="s">
        <v>12</v>
      </c>
      <c r="E68" t="s">
        <v>3</v>
      </c>
      <c r="F68" t="s">
        <v>4</v>
      </c>
      <c r="G68" s="3" t="str">
        <f ca="1">students[[#This Row],[entryexamscore]]</f>
        <v>76</v>
      </c>
      <c r="H68" t="s">
        <v>9</v>
      </c>
      <c r="I68" s="3">
        <v>156</v>
      </c>
      <c r="J68" s="3">
        <v>85</v>
      </c>
      <c r="K68" s="3">
        <v>45</v>
      </c>
    </row>
    <row r="69" spans="1:11" x14ac:dyDescent="0.25">
      <c r="A69" t="s">
        <v>123</v>
      </c>
      <c r="B69" t="s">
        <v>28</v>
      </c>
      <c r="C69">
        <v>46</v>
      </c>
      <c r="D69" t="s">
        <v>2</v>
      </c>
      <c r="E69" t="s">
        <v>3</v>
      </c>
      <c r="F69" t="s">
        <v>4</v>
      </c>
      <c r="G69" s="3" t="str">
        <f ca="1">students[[#This Row],[entryexamscore]]</f>
        <v>94</v>
      </c>
      <c r="H69" t="s">
        <v>80</v>
      </c>
      <c r="I69" s="3">
        <v>160</v>
      </c>
      <c r="J69" s="3">
        <v>90</v>
      </c>
      <c r="K69" s="3">
        <v>77</v>
      </c>
    </row>
    <row r="70" spans="1:11" x14ac:dyDescent="0.25">
      <c r="A70" t="s">
        <v>50</v>
      </c>
      <c r="B70" t="s">
        <v>38</v>
      </c>
      <c r="C70">
        <v>47</v>
      </c>
      <c r="D70" t="s">
        <v>2</v>
      </c>
      <c r="E70" t="s">
        <v>3</v>
      </c>
      <c r="F70" t="s">
        <v>4</v>
      </c>
      <c r="G70" s="3" t="str">
        <f ca="1">students[[#This Row],[entryexamscore]]</f>
        <v>86</v>
      </c>
      <c r="H70" t="s">
        <v>26</v>
      </c>
      <c r="I70" s="3">
        <v>156</v>
      </c>
      <c r="J70" s="3">
        <v>80</v>
      </c>
      <c r="K70" s="3">
        <v>78</v>
      </c>
    </row>
    <row r="71" spans="1:11" x14ac:dyDescent="0.25">
      <c r="A71" t="s">
        <v>102</v>
      </c>
      <c r="B71" t="s">
        <v>32</v>
      </c>
      <c r="C71">
        <v>47</v>
      </c>
      <c r="D71" t="s">
        <v>12</v>
      </c>
      <c r="E71" t="s">
        <v>3</v>
      </c>
      <c r="F71" t="s">
        <v>4</v>
      </c>
      <c r="G71" s="3" t="str">
        <f ca="1">students[[#This Row],[entryexamscore]]</f>
        <v>89</v>
      </c>
      <c r="H71" t="s">
        <v>80</v>
      </c>
      <c r="I71" s="3">
        <v>160</v>
      </c>
      <c r="J71" s="3">
        <v>86</v>
      </c>
      <c r="K71" s="3">
        <v>60</v>
      </c>
    </row>
    <row r="72" spans="1:11" x14ac:dyDescent="0.25">
      <c r="A72" t="s">
        <v>51</v>
      </c>
      <c r="B72" t="s">
        <v>52</v>
      </c>
      <c r="C72">
        <v>48</v>
      </c>
      <c r="D72" t="s">
        <v>12</v>
      </c>
      <c r="E72" t="s">
        <v>3</v>
      </c>
      <c r="F72" t="s">
        <v>4</v>
      </c>
      <c r="G72" s="3" t="str">
        <f ca="1">students[[#This Row],[entryexamscore]]</f>
        <v>75</v>
      </c>
      <c r="H72" t="s">
        <v>26</v>
      </c>
      <c r="I72" s="3">
        <v>148</v>
      </c>
      <c r="J72" s="3">
        <v>76</v>
      </c>
      <c r="K72" s="3">
        <v>73</v>
      </c>
    </row>
    <row r="73" spans="1:11" x14ac:dyDescent="0.25">
      <c r="A73" t="s">
        <v>146</v>
      </c>
      <c r="B73" t="s">
        <v>147</v>
      </c>
      <c r="C73">
        <v>50</v>
      </c>
      <c r="D73" t="s">
        <v>12</v>
      </c>
      <c r="E73" t="s">
        <v>45</v>
      </c>
      <c r="F73" t="s">
        <v>4</v>
      </c>
      <c r="G73" s="3" t="str">
        <f ca="1">students[[#This Row],[entryexamscore]]</f>
        <v>74</v>
      </c>
      <c r="H73" t="s">
        <v>5</v>
      </c>
      <c r="I73" s="3">
        <v>140</v>
      </c>
      <c r="J73" s="3">
        <v>63</v>
      </c>
      <c r="K73" s="3">
        <v>60</v>
      </c>
    </row>
    <row r="74" spans="1:11" x14ac:dyDescent="0.25">
      <c r="A74" t="s">
        <v>125</v>
      </c>
      <c r="B74" t="s">
        <v>126</v>
      </c>
      <c r="C74">
        <v>50</v>
      </c>
      <c r="D74" t="s">
        <v>2</v>
      </c>
      <c r="E74" t="s">
        <v>3</v>
      </c>
      <c r="F74" t="s">
        <v>4</v>
      </c>
      <c r="G74" s="3" t="str">
        <f ca="1">students[[#This Row],[entryexamscore]]</f>
        <v>81</v>
      </c>
      <c r="H74" t="s">
        <v>26</v>
      </c>
      <c r="I74" s="3">
        <v>158</v>
      </c>
      <c r="J74" s="3">
        <v>87</v>
      </c>
      <c r="K74" s="3">
        <v>46</v>
      </c>
    </row>
    <row r="75" spans="1:11" x14ac:dyDescent="0.25">
      <c r="A75" t="s">
        <v>53</v>
      </c>
      <c r="B75" t="s">
        <v>54</v>
      </c>
      <c r="C75">
        <v>50</v>
      </c>
      <c r="D75" t="s">
        <v>2</v>
      </c>
      <c r="E75" t="s">
        <v>3</v>
      </c>
      <c r="F75" t="s">
        <v>4</v>
      </c>
      <c r="G75" s="3" t="str">
        <f ca="1">students[[#This Row],[entryexamscore]]</f>
        <v>95</v>
      </c>
      <c r="H75" t="s">
        <v>5</v>
      </c>
      <c r="I75" s="3">
        <v>160</v>
      </c>
      <c r="J75" s="3">
        <v>84</v>
      </c>
      <c r="K75" s="3">
        <v>90</v>
      </c>
    </row>
    <row r="76" spans="1:11" x14ac:dyDescent="0.25">
      <c r="A76" t="s">
        <v>6</v>
      </c>
      <c r="B76" t="s">
        <v>7</v>
      </c>
      <c r="C76">
        <v>60</v>
      </c>
      <c r="D76" t="s">
        <v>12</v>
      </c>
      <c r="E76" t="s">
        <v>8</v>
      </c>
      <c r="F76" t="s">
        <v>4</v>
      </c>
      <c r="G76" s="3" t="str">
        <f ca="1">students[[#This Row],[entryexamscore]]</f>
        <v>79</v>
      </c>
      <c r="H76" t="s">
        <v>9</v>
      </c>
      <c r="I76" s="3">
        <v>150</v>
      </c>
      <c r="J76" s="3">
        <v>60</v>
      </c>
      <c r="K76" s="3">
        <v>75</v>
      </c>
    </row>
    <row r="77" spans="1:11" x14ac:dyDescent="0.25">
      <c r="A77" t="s">
        <v>113</v>
      </c>
      <c r="B77" t="s">
        <v>118</v>
      </c>
      <c r="C77">
        <v>69</v>
      </c>
      <c r="D77" t="s">
        <v>12</v>
      </c>
      <c r="E77" t="s">
        <v>115</v>
      </c>
      <c r="F77" t="s">
        <v>4</v>
      </c>
      <c r="G77" s="3" t="str">
        <f ca="1">students[[#This Row],[entryexamscore]]</f>
        <v>94</v>
      </c>
      <c r="H77" t="s">
        <v>80</v>
      </c>
      <c r="I77" s="3">
        <v>160</v>
      </c>
      <c r="J77" s="3">
        <v>87</v>
      </c>
      <c r="K77" s="3">
        <v>88</v>
      </c>
    </row>
    <row r="78" spans="1:11" x14ac:dyDescent="0.25">
      <c r="A78" t="s">
        <v>78</v>
      </c>
      <c r="B78" t="s">
        <v>79</v>
      </c>
      <c r="C78">
        <v>71</v>
      </c>
      <c r="D78" t="s">
        <v>2</v>
      </c>
      <c r="E78" t="s">
        <v>3</v>
      </c>
      <c r="F78" t="s">
        <v>4</v>
      </c>
      <c r="G78" s="3" t="str">
        <f ca="1">students[[#This Row],[entryexamscore]]</f>
        <v>30</v>
      </c>
      <c r="H78" t="s">
        <v>80</v>
      </c>
      <c r="I78" s="3">
        <v>120</v>
      </c>
      <c r="J78" s="3">
        <v>31</v>
      </c>
      <c r="K78" s="3">
        <v>42</v>
      </c>
    </row>
    <row r="79" spans="1:11" x14ac:dyDescent="0.25">
      <c r="A79" t="s">
        <v>159</v>
      </c>
      <c r="B79" t="s">
        <v>159</v>
      </c>
      <c r="C79" t="s">
        <v>159</v>
      </c>
      <c r="D79" t="s">
        <v>159</v>
      </c>
      <c r="E79" t="s">
        <v>159</v>
      </c>
      <c r="F79" t="s">
        <v>159</v>
      </c>
      <c r="G79" s="3" t="s">
        <v>159</v>
      </c>
      <c r="H79" t="s">
        <v>159</v>
      </c>
      <c r="I79" s="2" t="s">
        <v>159</v>
      </c>
      <c r="J79" s="2" t="s">
        <v>159</v>
      </c>
      <c r="K79" s="1" t="s">
        <v>159</v>
      </c>
    </row>
    <row r="80" spans="1:11" x14ac:dyDescent="0.25">
      <c r="A80" t="s">
        <v>159</v>
      </c>
      <c r="B80" t="s">
        <v>159</v>
      </c>
      <c r="C80" t="s">
        <v>159</v>
      </c>
      <c r="D80" t="s">
        <v>159</v>
      </c>
      <c r="E80" t="s">
        <v>159</v>
      </c>
      <c r="F80" t="s">
        <v>159</v>
      </c>
      <c r="G80" s="3" t="s">
        <v>159</v>
      </c>
      <c r="H80" t="s">
        <v>159</v>
      </c>
      <c r="I80" s="2" t="s">
        <v>159</v>
      </c>
      <c r="J80" s="2" t="s">
        <v>159</v>
      </c>
      <c r="K80" s="1" t="s">
        <v>159</v>
      </c>
    </row>
    <row r="81" spans="1:11" x14ac:dyDescent="0.25">
      <c r="A81" t="s">
        <v>159</v>
      </c>
      <c r="B81" t="s">
        <v>159</v>
      </c>
      <c r="C81" t="s">
        <v>159</v>
      </c>
      <c r="D81" t="s">
        <v>159</v>
      </c>
      <c r="E81" t="s">
        <v>159</v>
      </c>
      <c r="F81" t="s">
        <v>159</v>
      </c>
      <c r="G81" s="3" t="s">
        <v>159</v>
      </c>
      <c r="H81" t="s">
        <v>159</v>
      </c>
      <c r="I81" s="2" t="s">
        <v>159</v>
      </c>
      <c r="J81" s="2" t="s">
        <v>159</v>
      </c>
      <c r="K81" s="1" t="s">
        <v>159</v>
      </c>
    </row>
    <row r="82" spans="1:11" x14ac:dyDescent="0.25">
      <c r="A82" t="s">
        <v>159</v>
      </c>
      <c r="B82" t="s">
        <v>159</v>
      </c>
      <c r="C82" t="s">
        <v>159</v>
      </c>
      <c r="D82" t="s">
        <v>159</v>
      </c>
      <c r="E82" t="s">
        <v>159</v>
      </c>
      <c r="F82" t="s">
        <v>159</v>
      </c>
      <c r="G82" s="3" t="s">
        <v>159</v>
      </c>
      <c r="H82" t="s">
        <v>159</v>
      </c>
      <c r="I82" s="2" t="s">
        <v>159</v>
      </c>
      <c r="J82" s="2" t="s">
        <v>159</v>
      </c>
      <c r="K82" s="1" t="s">
        <v>159</v>
      </c>
    </row>
  </sheetData>
  <phoneticPr fontId="18" type="noConversion"/>
  <pageMargins left="0.7" right="0.7" top="0.75" bottom="0.75" header="0.3" footer="0.3"/>
  <pageSetup paperSize="9" orientation="portrait" r:id="rId5"/>
  <tableParts count="5"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PRIDES FRU</dc:creator>
  <cp:lastModifiedBy>PRIDES FRU</cp:lastModifiedBy>
  <dcterms:created xsi:type="dcterms:W3CDTF">2026-03-25T15:24:03Z</dcterms:created>
  <dcterms:modified xsi:type="dcterms:W3CDTF">2026-04-22T14:57:48Z</dcterms:modified>
</cp:coreProperties>
</file>